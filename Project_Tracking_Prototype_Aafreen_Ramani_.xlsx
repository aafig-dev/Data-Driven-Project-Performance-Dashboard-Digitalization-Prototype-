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afig\Downloads\"/>
    </mc:Choice>
  </mc:AlternateContent>
  <xr:revisionPtr revIDLastSave="0" documentId="8_{556A7178-3C05-41C8-9104-93F015B1556C}" xr6:coauthVersionLast="47" xr6:coauthVersionMax="47" xr10:uidLastSave="{00000000-0000-0000-0000-000000000000}"/>
  <bookViews>
    <workbookView xWindow="-110" yWindow="-110" windowWidth="19420" windowHeight="10300" firstSheet="1" activeTab="5" xr2:uid="{00000000-000D-0000-FFFF-FFFF00000000}"/>
  </bookViews>
  <sheets>
    <sheet name="Instructions" sheetId="1" r:id="rId1"/>
    <sheet name="Task_Tracker" sheetId="2" r:id="rId2"/>
    <sheet name="Portfolio_Master" sheetId="3" r:id="rId3"/>
    <sheet name="Geography_Progress" sheetId="4" r:id="rId4"/>
    <sheet name="Insights" sheetId="5" r:id="rId5"/>
    <sheet name="Dashboar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6" l="1"/>
  <c r="A22" i="6"/>
  <c r="I21" i="6"/>
  <c r="A21" i="6"/>
  <c r="I20" i="6"/>
  <c r="A20" i="6"/>
  <c r="I19" i="6"/>
  <c r="A19" i="6"/>
  <c r="I18" i="6"/>
  <c r="G18" i="6"/>
  <c r="A18" i="6"/>
  <c r="I17" i="6"/>
  <c r="G17" i="6"/>
  <c r="A17" i="6"/>
  <c r="I16" i="6"/>
  <c r="G16" i="6"/>
  <c r="A16" i="6"/>
  <c r="G21" i="4"/>
  <c r="C21" i="4"/>
  <c r="G20" i="4"/>
  <c r="C20" i="4"/>
  <c r="G19" i="4"/>
  <c r="C19" i="4"/>
  <c r="G18" i="4"/>
  <c r="C18" i="4"/>
  <c r="G17" i="4"/>
  <c r="C17" i="4"/>
  <c r="G16" i="4"/>
  <c r="E16" i="4"/>
  <c r="C16" i="4"/>
  <c r="G15" i="4"/>
  <c r="C15" i="4"/>
  <c r="G14" i="4"/>
  <c r="C14" i="4"/>
  <c r="F10" i="4"/>
  <c r="B10" i="4"/>
  <c r="F9" i="4"/>
  <c r="B9" i="4"/>
  <c r="F8" i="4"/>
  <c r="B8" i="4"/>
  <c r="F7" i="4"/>
  <c r="B7" i="4"/>
  <c r="F6" i="4"/>
  <c r="B6" i="4"/>
  <c r="F5" i="4"/>
  <c r="B5" i="4"/>
  <c r="R12" i="3"/>
  <c r="D23" i="6" s="1"/>
  <c r="I12" i="3"/>
  <c r="E21" i="4" s="1"/>
  <c r="R11" i="3"/>
  <c r="D22" i="6" s="1"/>
  <c r="I11" i="3"/>
  <c r="R10" i="3"/>
  <c r="D21" i="6" s="1"/>
  <c r="I10" i="3"/>
  <c r="E19" i="4" s="1"/>
  <c r="R9" i="3"/>
  <c r="D20" i="6" s="1"/>
  <c r="I9" i="3"/>
  <c r="E18" i="4" s="1"/>
  <c r="R8" i="3"/>
  <c r="D19" i="6" s="1"/>
  <c r="I8" i="3"/>
  <c r="E14" i="4" s="1"/>
  <c r="R7" i="3"/>
  <c r="D18" i="6" s="1"/>
  <c r="I7" i="3"/>
  <c r="E17" i="4" s="1"/>
  <c r="R6" i="3"/>
  <c r="D17" i="6" s="1"/>
  <c r="I6" i="3"/>
  <c r="R5" i="3"/>
  <c r="D16" i="6" s="1"/>
  <c r="I5" i="3"/>
  <c r="E15" i="4" s="1"/>
  <c r="M84" i="2"/>
  <c r="N84" i="2" s="1"/>
  <c r="O84" i="2" s="1"/>
  <c r="J84" i="2"/>
  <c r="M83" i="2"/>
  <c r="N83" i="2" s="1"/>
  <c r="O83" i="2" s="1"/>
  <c r="J83" i="2"/>
  <c r="M82" i="2"/>
  <c r="N82" i="2" s="1"/>
  <c r="O82" i="2" s="1"/>
  <c r="J82" i="2"/>
  <c r="M81" i="2"/>
  <c r="N81" i="2" s="1"/>
  <c r="O81" i="2" s="1"/>
  <c r="J81" i="2"/>
  <c r="M80" i="2"/>
  <c r="N80" i="2" s="1"/>
  <c r="O80" i="2" s="1"/>
  <c r="J80" i="2"/>
  <c r="M79" i="2"/>
  <c r="N79" i="2" s="1"/>
  <c r="O79" i="2" s="1"/>
  <c r="J79" i="2"/>
  <c r="M78" i="2"/>
  <c r="N78" i="2" s="1"/>
  <c r="O78" i="2" s="1"/>
  <c r="J78" i="2"/>
  <c r="M77" i="2"/>
  <c r="N77" i="2" s="1"/>
  <c r="O77" i="2" s="1"/>
  <c r="J77" i="2"/>
  <c r="M76" i="2"/>
  <c r="N76" i="2" s="1"/>
  <c r="O76" i="2" s="1"/>
  <c r="J76" i="2"/>
  <c r="M75" i="2"/>
  <c r="N75" i="2" s="1"/>
  <c r="O75" i="2" s="1"/>
  <c r="J75" i="2"/>
  <c r="M74" i="2"/>
  <c r="N74" i="2" s="1"/>
  <c r="O74" i="2" s="1"/>
  <c r="J74" i="2"/>
  <c r="M73" i="2"/>
  <c r="N73" i="2" s="1"/>
  <c r="O73" i="2" s="1"/>
  <c r="J73" i="2"/>
  <c r="M72" i="2"/>
  <c r="N72" i="2" s="1"/>
  <c r="O72" i="2" s="1"/>
  <c r="J72" i="2"/>
  <c r="M71" i="2"/>
  <c r="N71" i="2" s="1"/>
  <c r="O71" i="2" s="1"/>
  <c r="J71" i="2"/>
  <c r="M70" i="2"/>
  <c r="N70" i="2" s="1"/>
  <c r="O70" i="2" s="1"/>
  <c r="J70" i="2"/>
  <c r="M69" i="2"/>
  <c r="N69" i="2" s="1"/>
  <c r="O69" i="2" s="1"/>
  <c r="J69" i="2"/>
  <c r="M68" i="2"/>
  <c r="N68" i="2" s="1"/>
  <c r="O68" i="2" s="1"/>
  <c r="J68" i="2"/>
  <c r="M67" i="2"/>
  <c r="N67" i="2" s="1"/>
  <c r="O67" i="2" s="1"/>
  <c r="J67" i="2"/>
  <c r="M66" i="2"/>
  <c r="N66" i="2" s="1"/>
  <c r="O66" i="2" s="1"/>
  <c r="J66" i="2"/>
  <c r="M65" i="2"/>
  <c r="N65" i="2" s="1"/>
  <c r="O65" i="2" s="1"/>
  <c r="J65" i="2"/>
  <c r="M64" i="2"/>
  <c r="N64" i="2" s="1"/>
  <c r="O64" i="2" s="1"/>
  <c r="J64" i="2"/>
  <c r="M63" i="2"/>
  <c r="N63" i="2" s="1"/>
  <c r="O63" i="2" s="1"/>
  <c r="J63" i="2"/>
  <c r="M62" i="2"/>
  <c r="N62" i="2" s="1"/>
  <c r="O62" i="2" s="1"/>
  <c r="J62" i="2"/>
  <c r="M61" i="2"/>
  <c r="N61" i="2" s="1"/>
  <c r="O61" i="2" s="1"/>
  <c r="J61" i="2"/>
  <c r="M60" i="2"/>
  <c r="N60" i="2" s="1"/>
  <c r="O60" i="2" s="1"/>
  <c r="J60" i="2"/>
  <c r="M59" i="2"/>
  <c r="N59" i="2" s="1"/>
  <c r="O59" i="2" s="1"/>
  <c r="J59" i="2"/>
  <c r="M58" i="2"/>
  <c r="N58" i="2" s="1"/>
  <c r="O58" i="2" s="1"/>
  <c r="J58" i="2"/>
  <c r="M57" i="2"/>
  <c r="N57" i="2" s="1"/>
  <c r="O57" i="2" s="1"/>
  <c r="J57" i="2"/>
  <c r="M56" i="2"/>
  <c r="N56" i="2" s="1"/>
  <c r="O56" i="2" s="1"/>
  <c r="J56" i="2"/>
  <c r="M55" i="2"/>
  <c r="N55" i="2" s="1"/>
  <c r="O55" i="2" s="1"/>
  <c r="J55" i="2"/>
  <c r="M54" i="2"/>
  <c r="N54" i="2" s="1"/>
  <c r="O54" i="2" s="1"/>
  <c r="J54" i="2"/>
  <c r="M53" i="2"/>
  <c r="N53" i="2" s="1"/>
  <c r="O53" i="2" s="1"/>
  <c r="J53" i="2"/>
  <c r="M52" i="2"/>
  <c r="N52" i="2" s="1"/>
  <c r="O52" i="2" s="1"/>
  <c r="J52" i="2"/>
  <c r="M51" i="2"/>
  <c r="N51" i="2" s="1"/>
  <c r="O51" i="2" s="1"/>
  <c r="J51" i="2"/>
  <c r="M50" i="2"/>
  <c r="N50" i="2" s="1"/>
  <c r="O50" i="2" s="1"/>
  <c r="J50" i="2"/>
  <c r="M49" i="2"/>
  <c r="N49" i="2" s="1"/>
  <c r="O49" i="2" s="1"/>
  <c r="J49" i="2"/>
  <c r="M48" i="2"/>
  <c r="N48" i="2" s="1"/>
  <c r="O48" i="2" s="1"/>
  <c r="J48" i="2"/>
  <c r="M47" i="2"/>
  <c r="N47" i="2" s="1"/>
  <c r="O47" i="2" s="1"/>
  <c r="J47" i="2"/>
  <c r="M46" i="2"/>
  <c r="N46" i="2" s="1"/>
  <c r="O46" i="2" s="1"/>
  <c r="J46" i="2"/>
  <c r="M45" i="2"/>
  <c r="N45" i="2" s="1"/>
  <c r="O45" i="2" s="1"/>
  <c r="J45" i="2"/>
  <c r="H9" i="3" s="1"/>
  <c r="J9" i="3" s="1"/>
  <c r="M44" i="2"/>
  <c r="N44" i="2" s="1"/>
  <c r="O44" i="2" s="1"/>
  <c r="J44" i="2"/>
  <c r="M43" i="2"/>
  <c r="N43" i="2" s="1"/>
  <c r="O43" i="2" s="1"/>
  <c r="J43" i="2"/>
  <c r="M42" i="2"/>
  <c r="N42" i="2" s="1"/>
  <c r="O42" i="2" s="1"/>
  <c r="J42" i="2"/>
  <c r="M41" i="2"/>
  <c r="N41" i="2" s="1"/>
  <c r="O41" i="2" s="1"/>
  <c r="J41" i="2"/>
  <c r="M40" i="2"/>
  <c r="N40" i="2" s="1"/>
  <c r="O40" i="2" s="1"/>
  <c r="J40" i="2"/>
  <c r="M39" i="2"/>
  <c r="N39" i="2" s="1"/>
  <c r="O39" i="2" s="1"/>
  <c r="J39" i="2"/>
  <c r="M38" i="2"/>
  <c r="N38" i="2" s="1"/>
  <c r="O38" i="2" s="1"/>
  <c r="J38" i="2"/>
  <c r="M37" i="2"/>
  <c r="N37" i="2" s="1"/>
  <c r="O37" i="2" s="1"/>
  <c r="J37" i="2"/>
  <c r="M36" i="2"/>
  <c r="N36" i="2" s="1"/>
  <c r="O36" i="2" s="1"/>
  <c r="J36" i="2"/>
  <c r="M35" i="2"/>
  <c r="N35" i="2" s="1"/>
  <c r="O35" i="2" s="1"/>
  <c r="J35" i="2"/>
  <c r="M34" i="2"/>
  <c r="N34" i="2" s="1"/>
  <c r="O34" i="2" s="1"/>
  <c r="J34" i="2"/>
  <c r="M33" i="2"/>
  <c r="N33" i="2" s="1"/>
  <c r="O33" i="2" s="1"/>
  <c r="J33" i="2"/>
  <c r="M32" i="2"/>
  <c r="N32" i="2" s="1"/>
  <c r="O32" i="2" s="1"/>
  <c r="J32" i="2"/>
  <c r="M31" i="2"/>
  <c r="N31" i="2" s="1"/>
  <c r="O31" i="2" s="1"/>
  <c r="J31" i="2"/>
  <c r="M30" i="2"/>
  <c r="N30" i="2" s="1"/>
  <c r="O30" i="2" s="1"/>
  <c r="J30" i="2"/>
  <c r="M29" i="2"/>
  <c r="N29" i="2" s="1"/>
  <c r="O29" i="2" s="1"/>
  <c r="J29" i="2"/>
  <c r="M28" i="2"/>
  <c r="N28" i="2" s="1"/>
  <c r="O28" i="2" s="1"/>
  <c r="J28" i="2"/>
  <c r="M27" i="2"/>
  <c r="N27" i="2" s="1"/>
  <c r="O27" i="2" s="1"/>
  <c r="J27" i="2"/>
  <c r="M26" i="2"/>
  <c r="N26" i="2" s="1"/>
  <c r="O26" i="2" s="1"/>
  <c r="J26" i="2"/>
  <c r="M25" i="2"/>
  <c r="N25" i="2" s="1"/>
  <c r="O25" i="2" s="1"/>
  <c r="J25" i="2"/>
  <c r="M24" i="2"/>
  <c r="N24" i="2" s="1"/>
  <c r="O24" i="2" s="1"/>
  <c r="J24" i="2"/>
  <c r="M23" i="2"/>
  <c r="N23" i="2" s="1"/>
  <c r="O23" i="2" s="1"/>
  <c r="J23" i="2"/>
  <c r="M22" i="2"/>
  <c r="N22" i="2" s="1"/>
  <c r="O22" i="2" s="1"/>
  <c r="J22" i="2"/>
  <c r="M21" i="2"/>
  <c r="N21" i="2" s="1"/>
  <c r="O21" i="2" s="1"/>
  <c r="J21" i="2"/>
  <c r="M20" i="2"/>
  <c r="N20" i="2" s="1"/>
  <c r="O20" i="2" s="1"/>
  <c r="J20" i="2"/>
  <c r="M19" i="2"/>
  <c r="N19" i="2" s="1"/>
  <c r="O19" i="2" s="1"/>
  <c r="J19" i="2"/>
  <c r="M18" i="2"/>
  <c r="N18" i="2" s="1"/>
  <c r="O18" i="2" s="1"/>
  <c r="J18" i="2"/>
  <c r="M17" i="2"/>
  <c r="N17" i="2" s="1"/>
  <c r="O17" i="2" s="1"/>
  <c r="J17" i="2"/>
  <c r="M16" i="2"/>
  <c r="N16" i="2" s="1"/>
  <c r="O16" i="2" s="1"/>
  <c r="J16" i="2"/>
  <c r="M15" i="2"/>
  <c r="N15" i="2" s="1"/>
  <c r="O15" i="2" s="1"/>
  <c r="J15" i="2"/>
  <c r="M14" i="2"/>
  <c r="N14" i="2" s="1"/>
  <c r="O14" i="2" s="1"/>
  <c r="J14" i="2"/>
  <c r="M13" i="2"/>
  <c r="N13" i="2" s="1"/>
  <c r="O13" i="2" s="1"/>
  <c r="J13" i="2"/>
  <c r="M12" i="2"/>
  <c r="N12" i="2" s="1"/>
  <c r="O12" i="2" s="1"/>
  <c r="J12" i="2"/>
  <c r="M11" i="2"/>
  <c r="N11" i="2" s="1"/>
  <c r="O11" i="2" s="1"/>
  <c r="J11" i="2"/>
  <c r="M10" i="2"/>
  <c r="N10" i="2" s="1"/>
  <c r="O10" i="2" s="1"/>
  <c r="J10" i="2"/>
  <c r="M9" i="2"/>
  <c r="N9" i="2" s="1"/>
  <c r="O9" i="2" s="1"/>
  <c r="J9" i="2"/>
  <c r="M8" i="2"/>
  <c r="N8" i="2" s="1"/>
  <c r="O8" i="2" s="1"/>
  <c r="J8" i="2"/>
  <c r="M7" i="2"/>
  <c r="N7" i="2" s="1"/>
  <c r="O7" i="2" s="1"/>
  <c r="J7" i="2"/>
  <c r="M6" i="2"/>
  <c r="N6" i="2" s="1"/>
  <c r="O6" i="2" s="1"/>
  <c r="J6" i="2"/>
  <c r="M5" i="2"/>
  <c r="N5" i="2" s="1"/>
  <c r="O5" i="2" s="1"/>
  <c r="J5" i="2"/>
  <c r="H7" i="3" l="1"/>
  <c r="J7" i="3" s="1"/>
  <c r="H5" i="3"/>
  <c r="H12" i="3"/>
  <c r="J12" i="3" s="1"/>
  <c r="D8" i="4"/>
  <c r="H10" i="3"/>
  <c r="J10" i="3" s="1"/>
  <c r="H8" i="3"/>
  <c r="J8" i="3" s="1"/>
  <c r="D9" i="4"/>
  <c r="H6" i="3"/>
  <c r="J6" i="3" s="1"/>
  <c r="H11" i="3"/>
  <c r="J11" i="3" s="1"/>
  <c r="D10" i="4"/>
  <c r="K5" i="3"/>
  <c r="M5" i="3" s="1"/>
  <c r="H15" i="4" s="1"/>
  <c r="L8" i="3"/>
  <c r="L11" i="3"/>
  <c r="K11" i="3"/>
  <c r="M11" i="3" s="1"/>
  <c r="L7" i="3"/>
  <c r="K7" i="3"/>
  <c r="M7" i="3" s="1"/>
  <c r="H17" i="4" s="1"/>
  <c r="K6" i="3"/>
  <c r="M6" i="3" s="1"/>
  <c r="N6" i="3" s="1"/>
  <c r="L12" i="3"/>
  <c r="K12" i="3"/>
  <c r="M12" i="3" s="1"/>
  <c r="D21" i="4"/>
  <c r="J5" i="3"/>
  <c r="D15" i="4"/>
  <c r="C6" i="4"/>
  <c r="D14" i="4"/>
  <c r="F14" i="4" s="1"/>
  <c r="I14" i="4" s="1"/>
  <c r="C5" i="4"/>
  <c r="D17" i="4"/>
  <c r="C7" i="4"/>
  <c r="D16" i="4"/>
  <c r="K10" i="3"/>
  <c r="M10" i="3" s="1"/>
  <c r="C8" i="4"/>
  <c r="D18" i="4"/>
  <c r="K9" i="3"/>
  <c r="M9" i="3" s="1"/>
  <c r="L10" i="3"/>
  <c r="L5" i="3"/>
  <c r="K8" i="3"/>
  <c r="M8" i="3" s="1"/>
  <c r="L9" i="3"/>
  <c r="D5" i="4"/>
  <c r="D7" i="4"/>
  <c r="E20" i="4"/>
  <c r="D6" i="4"/>
  <c r="L6" i="3"/>
  <c r="E8" i="4" l="1"/>
  <c r="H8" i="4" s="1"/>
  <c r="E6" i="4"/>
  <c r="F16" i="4"/>
  <c r="I16" i="4" s="1"/>
  <c r="F17" i="4"/>
  <c r="I17" i="4" s="1"/>
  <c r="F15" i="4"/>
  <c r="I15" i="4" s="1"/>
  <c r="F18" i="4"/>
  <c r="I18" i="4" s="1"/>
  <c r="F21" i="4"/>
  <c r="I21" i="4" s="1"/>
  <c r="D20" i="4"/>
  <c r="F20" i="4" s="1"/>
  <c r="I20" i="4" s="1"/>
  <c r="C10" i="4"/>
  <c r="E10" i="4" s="1"/>
  <c r="J21" i="6" s="1"/>
  <c r="C9" i="4"/>
  <c r="E9" i="4" s="1"/>
  <c r="J20" i="6" s="1"/>
  <c r="D19" i="4"/>
  <c r="E7" i="4"/>
  <c r="J18" i="6" s="1"/>
  <c r="E5" i="4"/>
  <c r="H5" i="4" s="1"/>
  <c r="G10" i="4"/>
  <c r="G7" i="4"/>
  <c r="N7" i="3"/>
  <c r="O7" i="3" s="1"/>
  <c r="C18" i="6" s="1"/>
  <c r="H20" i="4"/>
  <c r="N5" i="3"/>
  <c r="O5" i="3" s="1"/>
  <c r="N8" i="3"/>
  <c r="O8" i="3" s="1"/>
  <c r="C19" i="6" s="1"/>
  <c r="H14" i="4"/>
  <c r="G5" i="4"/>
  <c r="T9" i="3"/>
  <c r="S9" i="3"/>
  <c r="B20" i="6"/>
  <c r="B22" i="6"/>
  <c r="T11" i="3"/>
  <c r="S11" i="3"/>
  <c r="T8" i="3"/>
  <c r="S8" i="3"/>
  <c r="B19" i="6"/>
  <c r="B18" i="6"/>
  <c r="T7" i="3"/>
  <c r="S7" i="3"/>
  <c r="H19" i="4"/>
  <c r="G9" i="4"/>
  <c r="N10" i="3"/>
  <c r="O10" i="3" s="1"/>
  <c r="C21" i="6" s="1"/>
  <c r="N11" i="3"/>
  <c r="O11" i="3" s="1"/>
  <c r="C22" i="6" s="1"/>
  <c r="H16" i="4"/>
  <c r="B16" i="6"/>
  <c r="T5" i="3"/>
  <c r="S5" i="3"/>
  <c r="B4" i="5"/>
  <c r="B21" i="6"/>
  <c r="T10" i="3"/>
  <c r="S10" i="3"/>
  <c r="G22" i="6"/>
  <c r="S12" i="3"/>
  <c r="B23" i="6"/>
  <c r="T12" i="3"/>
  <c r="G8" i="4"/>
  <c r="H18" i="4"/>
  <c r="N9" i="3"/>
  <c r="O9" i="3" s="1"/>
  <c r="C20" i="6" s="1"/>
  <c r="B5" i="5"/>
  <c r="G23" i="6"/>
  <c r="G6" i="4"/>
  <c r="J19" i="6"/>
  <c r="H21" i="4"/>
  <c r="N12" i="3"/>
  <c r="O12" i="3" s="1"/>
  <c r="C23" i="6" s="1"/>
  <c r="T6" i="3"/>
  <c r="S6" i="3"/>
  <c r="O6" i="3"/>
  <c r="C17" i="6" s="1"/>
  <c r="B17" i="6"/>
  <c r="G24" i="6"/>
  <c r="H10" i="4" l="1"/>
  <c r="J16" i="6"/>
  <c r="H7" i="4"/>
  <c r="F19" i="4"/>
  <c r="I19" i="4" s="1"/>
  <c r="B7" i="5"/>
  <c r="H9" i="4"/>
  <c r="C16" i="6"/>
  <c r="B8" i="5"/>
  <c r="B6" i="5"/>
  <c r="J17" i="6"/>
  <c r="H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1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Public source URLs: https://www.ilos-energy.com/ and https://www.ilos-energy.com/career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I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Task weight reflects milestone importance. Higher weights represent more critical value-creating milestones.</t>
        </r>
      </text>
    </comment>
    <comment ref="N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Delay Impact = Delay_Days × Weight. A delay on a high-impact milestone matters more than a delay on a minor one.</t>
        </r>
      </text>
    </comment>
  </commentList>
</comments>
</file>

<file path=xl/sharedStrings.xml><?xml version="1.0" encoding="utf-8"?>
<sst xmlns="http://schemas.openxmlformats.org/spreadsheetml/2006/main" count="897" uniqueCount="143">
  <si>
    <t>Weighted renewable project control model with checklist logic, risk adjustment, budget control, and geography rollups.</t>
  </si>
  <si>
    <t>Step</t>
  </si>
  <si>
    <t>Area</t>
  </si>
  <si>
    <t>Explanation</t>
  </si>
  <si>
    <t>Update status</t>
  </si>
  <si>
    <t>In Task_Tracker, switch Status between ☑ and ☐. Completion_Value updates automatically.</t>
  </si>
  <si>
    <t>Review timing</t>
  </si>
  <si>
    <t>Planned_Date is the scheduled milestone. Actual_Date reflects realized completion for done tasks.</t>
  </si>
  <si>
    <t>Use controller KPIs</t>
  </si>
  <si>
    <t>Portfolio_Master calculates Progress %, Total Delay Impact, Risk Factor, Risk-Adjusted Progress, Budget Used %, and Efficiency Index.</t>
  </si>
  <si>
    <t>Read geography rollups</t>
  </si>
  <si>
    <t>Geography_Progress shows weighted progress by country first, then state, with progress bars.</t>
  </si>
  <si>
    <t>Present the story</t>
  </si>
  <si>
    <t>Dashboard turns the tracker into a control tower view for interviews, outreach, or a reel.</t>
  </si>
  <si>
    <t>Source note</t>
  </si>
  <si>
    <t>Aligned to ILOS Energy's renewable project lifecycle and project control needs.</t>
  </si>
  <si>
    <t>Weighted milestones with timing and delay logic. This is the engine that drives all portfolio, country, and state progress calculations.</t>
  </si>
  <si>
    <t>Project_ID</t>
  </si>
  <si>
    <t>Project_Name</t>
  </si>
  <si>
    <t>Country</t>
  </si>
  <si>
    <t>State</t>
  </si>
  <si>
    <t>Task_Name</t>
  </si>
  <si>
    <t>Stage</t>
  </si>
  <si>
    <t>Owner</t>
  </si>
  <si>
    <t>Status</t>
  </si>
  <si>
    <t>Weight</t>
  </si>
  <si>
    <t>Completion_Value</t>
  </si>
  <si>
    <t>Planned_Date</t>
  </si>
  <si>
    <t>Actual_Date</t>
  </si>
  <si>
    <t>Delay_Days</t>
  </si>
  <si>
    <t>Delay_Impact</t>
  </si>
  <si>
    <t>Critical_Flag</t>
  </si>
  <si>
    <t>P-101</t>
  </si>
  <si>
    <t>Brandenburg Solar Park</t>
  </si>
  <si>
    <t>Germany</t>
  </si>
  <si>
    <t>Brandenburg</t>
  </si>
  <si>
    <t>Land Secured</t>
  </si>
  <si>
    <t>Development</t>
  </si>
  <si>
    <t>Development Lead</t>
  </si>
  <si>
    <t>☑</t>
  </si>
  <si>
    <t>No</t>
  </si>
  <si>
    <t>Grid Connection Secured</t>
  </si>
  <si>
    <t>Grid Manager</t>
  </si>
  <si>
    <t>Yes</t>
  </si>
  <si>
    <t>Permit Approved</t>
  </si>
  <si>
    <t>Permitting Manager</t>
  </si>
  <si>
    <t>Environmental Review Closed</t>
  </si>
  <si>
    <t>ESG &amp; Compliance</t>
  </si>
  <si>
    <t>EPC Assigned</t>
  </si>
  <si>
    <t>Construction</t>
  </si>
  <si>
    <t>Construction Manager</t>
  </si>
  <si>
    <t>Equipment Delivered</t>
  </si>
  <si>
    <t>Supply Chain Lead</t>
  </si>
  <si>
    <t>Installation Started</t>
  </si>
  <si>
    <t>Site Manager</t>
  </si>
  <si>
    <t>Installation Completed</t>
  </si>
  <si>
    <t>☐</t>
  </si>
  <si>
    <t>Testing Completed</t>
  </si>
  <si>
    <t>Commissioning</t>
  </si>
  <si>
    <t>Commissioning Engineer</t>
  </si>
  <si>
    <t>Project Activated</t>
  </si>
  <si>
    <t>Asset Manager</t>
  </si>
  <si>
    <t>P-102</t>
  </si>
  <si>
    <t>Andalusia Solar Cluster</t>
  </si>
  <si>
    <t>Spain</t>
  </si>
  <si>
    <t>Andalusia</t>
  </si>
  <si>
    <t>P-103</t>
  </si>
  <si>
    <t>Sicily Agrivoltaic Hub</t>
  </si>
  <si>
    <t>Italy</t>
  </si>
  <si>
    <t>Sicily</t>
  </si>
  <si>
    <t>P-104</t>
  </si>
  <si>
    <t>Occitanie Ground Mount</t>
  </si>
  <si>
    <t>France</t>
  </si>
  <si>
    <t>Occitanie</t>
  </si>
  <si>
    <t>P-105</t>
  </si>
  <si>
    <t>North Holland Solar Farm</t>
  </si>
  <si>
    <t>Netherlands</t>
  </si>
  <si>
    <t>North Holland</t>
  </si>
  <si>
    <t>P-106</t>
  </si>
  <si>
    <t>Lower Silesia PV Project</t>
  </si>
  <si>
    <t>Poland</t>
  </si>
  <si>
    <t>Lower Silesia</t>
  </si>
  <si>
    <t>P-107</t>
  </si>
  <si>
    <t>Saxony Battery-Ready PV</t>
  </si>
  <si>
    <t>Saxony</t>
  </si>
  <si>
    <t>P-108</t>
  </si>
  <si>
    <t>Valencia Hybrid Solar Site</t>
  </si>
  <si>
    <t>Valencia</t>
  </si>
  <si>
    <t>Project-level control logic for progress, delay impact, risk adjustment, and budget-performance comparison.</t>
  </si>
  <si>
    <t>Capacity_MW</t>
  </si>
  <si>
    <t>Planned_COD</t>
  </si>
  <si>
    <t>Completed_Weight</t>
  </si>
  <si>
    <t>Total_Weight</t>
  </si>
  <si>
    <t>Progress_%</t>
  </si>
  <si>
    <t>Total_Delay_Impact</t>
  </si>
  <si>
    <t>Avg_Delay_Days</t>
  </si>
  <si>
    <t>Risk_Level</t>
  </si>
  <si>
    <t>Risk_Factor</t>
  </si>
  <si>
    <t>Risk_Adjusted_Progress</t>
  </si>
  <si>
    <t>Budget_M€</t>
  </si>
  <si>
    <t>Actual_Cost_M€</t>
  </si>
  <si>
    <t>Budget_Used_%</t>
  </si>
  <si>
    <t>Efficiency_Index</t>
  </si>
  <si>
    <t>Budget_Alert</t>
  </si>
  <si>
    <t>Active</t>
  </si>
  <si>
    <t>Country Progress</t>
  </si>
  <si>
    <t>Projects</t>
  </si>
  <si>
    <t>Weighted_Progress_%</t>
  </si>
  <si>
    <t>MW_Pipeline</t>
  </si>
  <si>
    <t>Delayed_Projects</t>
  </si>
  <si>
    <t>Progress_Bar</t>
  </si>
  <si>
    <t>State / Region Progress</t>
  </si>
  <si>
    <t>Insight Area</t>
  </si>
  <si>
    <t>Formula-Linked Statement</t>
  </si>
  <si>
    <t>Use Case</t>
  </si>
  <si>
    <t>Portfolio health</t>
  </si>
  <si>
    <t>Dashboard summary</t>
  </si>
  <si>
    <t>Delay focus</t>
  </si>
  <si>
    <t>Escalation note</t>
  </si>
  <si>
    <t>Budget pressure</t>
  </si>
  <si>
    <t>Controller commentary</t>
  </si>
  <si>
    <t>Geography signal</t>
  </si>
  <si>
    <t>Country spotlight</t>
  </si>
  <si>
    <t>Project spotlight</t>
  </si>
  <si>
    <t>Management review</t>
  </si>
  <si>
    <t>Controller-level view of weighted progress, risk-adjusted performance, delay impact, budget efficiency, and geography progress.</t>
  </si>
  <si>
    <t>Total Projects
=COUNTA(Portfolio_Master!A5:A12)</t>
  </si>
  <si>
    <t>MW Pipeline
=SUM(Portfolio_Master!E5:E12)</t>
  </si>
  <si>
    <t>Weighted Progress
=AVERAGE(Portfolio_Master!J5:J12)</t>
  </si>
  <si>
    <t>Risk-Adjusted Progress
=AVERAGE(Portfolio_Master!O5:O12)</t>
  </si>
  <si>
    <t>High Risk Projects
=COUNTIF(Portfolio_Master!M5:M12,"High")</t>
  </si>
  <si>
    <t>Over Budget Projects
=COUNTIF(Portfolio_Master!T5:T12,"Over Budget")</t>
  </si>
  <si>
    <t>Project</t>
  </si>
  <si>
    <t>Weighted_Progress</t>
  </si>
  <si>
    <t>Low</t>
  </si>
  <si>
    <t>Medium</t>
  </si>
  <si>
    <t>High</t>
  </si>
  <si>
    <t>ALAS Energy | Portfolio Control Workbook</t>
  </si>
  <si>
    <t xml:space="preserve"> ALAS Energy | Task Tracker</t>
  </si>
  <si>
    <t>ALAS Energy | Portfolio Master</t>
  </si>
  <si>
    <t>ALAS Energy | Geography Progress</t>
  </si>
  <si>
    <t>ALAS Energy | Controller Insights</t>
  </si>
  <si>
    <t>ALAS Energy | Portfolio Control Tower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</si>
</sst>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0.0%"/>
    <numFmt numFmtId="166" formatCode="0.0"/>
  </numFmts>
  <fonts count="1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0"/>
      <color rgb="FFFFFFFF"/>
      <name val="Calibri"/>
    </font>
    <font>
      <sz val="11"/>
      <color rgb="FF0000FF"/>
      <name val="Calibri"/>
    </font>
    <font>
      <b/>
      <sz val="11"/>
      <color rgb="FFF39C12"/>
      <name val="Calibri"/>
    </font>
    <font>
      <b/>
      <sz val="14"/>
      <color rgb="FFFFFFFF"/>
      <name val="Calibri"/>
    </font>
    <font>
      <sz val="11"/>
      <color theme="0"/>
      <name val="Calibri"/>
      <family val="2"/>
      <scheme val="minor"/>
    </font>
    <font>
      <i/>
      <sz val="1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theme="6" tint="-0.249977111117893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color theme="1"/>
      <name val="Calibri"/>
      <family val="2"/>
    </font>
    <font>
      <i/>
      <sz val="10"/>
      <color theme="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143B68"/>
      </patternFill>
    </fill>
    <fill>
      <patternFill patternType="solid">
        <fgColor rgb="FF0F9D94"/>
      </patternFill>
    </fill>
    <fill>
      <patternFill patternType="solid">
        <fgColor rgb="FF2E7D32"/>
      </patternFill>
    </fill>
    <fill>
      <patternFill patternType="solid">
        <fgColor rgb="FF7C3AED"/>
      </patternFill>
    </fill>
    <fill>
      <patternFill patternType="solid">
        <fgColor rgb="FFC0392B"/>
      </patternFill>
    </fill>
    <fill>
      <patternFill patternType="solid">
        <fgColor rgb="FFF39C12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/>
      <top style="thin">
        <color theme="9" tint="-0.249977111117893"/>
      </top>
      <bottom/>
      <diagonal/>
    </border>
    <border>
      <left style="thin">
        <color theme="9" tint="-0.249977111117893"/>
      </left>
      <right/>
      <top/>
      <bottom/>
      <diagonal/>
    </border>
    <border>
      <left style="thin">
        <color theme="9" tint="-0.249977111117893"/>
      </left>
      <right/>
      <top style="thin">
        <color theme="9" tint="-0.249977111117893"/>
      </top>
      <bottom/>
      <diagonal/>
    </border>
    <border>
      <left/>
      <right style="thin">
        <color theme="9" tint="-0.249977111117893"/>
      </right>
      <top style="thin">
        <color theme="9" tint="-0.249977111117893"/>
      </top>
      <bottom/>
      <diagonal/>
    </border>
    <border>
      <left/>
      <right style="thin">
        <color theme="9" tint="-0.249977111117893"/>
      </right>
      <top/>
      <bottom/>
      <diagonal/>
    </border>
    <border>
      <left style="thin">
        <color theme="9" tint="-0.249977111117893"/>
      </left>
      <right/>
      <top/>
      <bottom style="thin">
        <color theme="9" tint="-0.249977111117893"/>
      </bottom>
      <diagonal/>
    </border>
    <border>
      <left/>
      <right/>
      <top/>
      <bottom style="thin">
        <color theme="9" tint="-0.249977111117893"/>
      </bottom>
      <diagonal/>
    </border>
    <border>
      <left/>
      <right style="thin">
        <color theme="9" tint="-0.249977111117893"/>
      </right>
      <top/>
      <bottom style="thin">
        <color theme="9" tint="-0.249977111117893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vertical="center" wrapText="1"/>
    </xf>
    <xf numFmtId="164" fontId="0" fillId="0" borderId="2" xfId="0" applyNumberFormat="1" applyBorder="1" applyAlignment="1">
      <alignment vertical="center" wrapText="1"/>
    </xf>
    <xf numFmtId="1" fontId="0" fillId="0" borderId="2" xfId="0" applyNumberFormat="1" applyBorder="1" applyAlignment="1">
      <alignment vertical="center" wrapText="1"/>
    </xf>
    <xf numFmtId="0" fontId="0" fillId="0" borderId="2" xfId="0" applyBorder="1"/>
    <xf numFmtId="165" fontId="0" fillId="0" borderId="2" xfId="0" applyNumberFormat="1" applyBorder="1"/>
    <xf numFmtId="165" fontId="0" fillId="0" borderId="0" xfId="0" applyNumberFormat="1"/>
    <xf numFmtId="0" fontId="2" fillId="9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11" borderId="2" xfId="0" applyFill="1" applyBorder="1" applyAlignment="1">
      <alignment vertical="center" wrapText="1"/>
    </xf>
    <xf numFmtId="0" fontId="0" fillId="12" borderId="2" xfId="0" applyFill="1" applyBorder="1" applyAlignment="1">
      <alignment vertical="center" wrapText="1"/>
    </xf>
    <xf numFmtId="0" fontId="0" fillId="13" borderId="2" xfId="0" applyFill="1" applyBorder="1" applyAlignment="1">
      <alignment vertical="center" wrapText="1"/>
    </xf>
    <xf numFmtId="0" fontId="0" fillId="10" borderId="2" xfId="0" applyFill="1" applyBorder="1" applyAlignment="1">
      <alignment vertical="center" wrapText="1"/>
    </xf>
    <xf numFmtId="0" fontId="0" fillId="14" borderId="2" xfId="0" applyFill="1" applyBorder="1" applyAlignment="1">
      <alignment vertical="center" wrapText="1"/>
    </xf>
    <xf numFmtId="0" fontId="9" fillId="8" borderId="0" xfId="0" applyFont="1" applyFill="1" applyAlignment="1">
      <alignment horizontal="left"/>
    </xf>
    <xf numFmtId="0" fontId="2" fillId="9" borderId="2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11" fillId="9" borderId="1" xfId="0" applyFont="1" applyFill="1" applyBorder="1" applyAlignment="1">
      <alignment horizontal="center" vertical="center" wrapText="1"/>
    </xf>
    <xf numFmtId="1" fontId="6" fillId="0" borderId="2" xfId="0" applyNumberFormat="1" applyFont="1" applyBorder="1" applyAlignment="1">
      <alignment vertical="center" wrapText="1"/>
    </xf>
    <xf numFmtId="0" fontId="4" fillId="16" borderId="2" xfId="0" applyFont="1" applyFill="1" applyBorder="1" applyAlignment="1">
      <alignment vertical="center" wrapText="1"/>
    </xf>
    <xf numFmtId="165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 wrapText="1"/>
    </xf>
    <xf numFmtId="164" fontId="0" fillId="0" borderId="2" xfId="0" applyNumberFormat="1" applyBorder="1" applyAlignment="1">
      <alignment horizontal="left" wrapText="1"/>
    </xf>
    <xf numFmtId="1" fontId="0" fillId="0" borderId="2" xfId="0" applyNumberFormat="1" applyBorder="1" applyAlignment="1">
      <alignment horizontal="left" wrapText="1"/>
    </xf>
    <xf numFmtId="166" fontId="0" fillId="0" borderId="2" xfId="0" applyNumberFormat="1" applyBorder="1" applyAlignment="1">
      <alignment horizontal="left" wrapText="1"/>
    </xf>
    <xf numFmtId="165" fontId="0" fillId="0" borderId="2" xfId="0" applyNumberFormat="1" applyBorder="1" applyAlignment="1">
      <alignment horizontal="left" wrapText="1"/>
    </xf>
    <xf numFmtId="10" fontId="0" fillId="0" borderId="2" xfId="0" applyNumberFormat="1" applyBorder="1" applyAlignment="1">
      <alignment horizontal="left" wrapText="1"/>
    </xf>
    <xf numFmtId="166" fontId="3" fillId="0" borderId="2" xfId="0" applyNumberFormat="1" applyFont="1" applyBorder="1" applyAlignment="1">
      <alignment horizontal="left" wrapText="1"/>
    </xf>
    <xf numFmtId="0" fontId="12" fillId="15" borderId="1" xfId="0" applyFont="1" applyFill="1" applyBorder="1" applyAlignment="1">
      <alignment horizontal="center" vertical="center" wrapText="1"/>
    </xf>
    <xf numFmtId="0" fontId="7" fillId="10" borderId="0" xfId="0" applyFont="1" applyFill="1" applyAlignment="1">
      <alignment horizontal="left" vertical="center"/>
    </xf>
    <xf numFmtId="0" fontId="8" fillId="10" borderId="0" xfId="0" applyFont="1" applyFill="1"/>
    <xf numFmtId="0" fontId="1" fillId="9" borderId="0" xfId="0" applyFont="1" applyFill="1" applyAlignment="1">
      <alignment horizontal="left" vertical="center"/>
    </xf>
    <xf numFmtId="0" fontId="0" fillId="9" borderId="0" xfId="0" applyFill="1"/>
    <xf numFmtId="0" fontId="9" fillId="8" borderId="0" xfId="0" applyFont="1" applyFill="1" applyAlignment="1">
      <alignment horizontal="left"/>
    </xf>
    <xf numFmtId="0" fontId="8" fillId="8" borderId="0" xfId="0" applyFont="1" applyFill="1"/>
    <xf numFmtId="0" fontId="5" fillId="7" borderId="0" xfId="0" applyFont="1" applyFill="1" applyAlignment="1">
      <alignment horizontal="center" vertical="center" wrapText="1"/>
    </xf>
    <xf numFmtId="0" fontId="0" fillId="0" borderId="0" xfId="0"/>
    <xf numFmtId="0" fontId="5" fillId="2" borderId="5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6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5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13" fillId="10" borderId="0" xfId="0" applyFont="1" applyFill="1" applyAlignment="1">
      <alignment horizontal="left" vertical="center"/>
    </xf>
    <xf numFmtId="0" fontId="0" fillId="10" borderId="0" xfId="0" applyFill="1"/>
  </cellXfs>
  <cellStyles count="1">
    <cellStyle name="Normal" xfId="0" builtinId="0"/>
  </cellStyles>
  <dxfs count="1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DECE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DECEA"/>
        </patternFill>
      </fill>
    </dxf>
    <dxf>
      <fill>
        <patternFill patternType="solid">
          <fgColor rgb="FFD9F2E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GB"/>
              <a:t>Project Progress vs Risk-Adjusted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Dashboard!$B$15</c:f>
              <c:strCache>
                <c:ptCount val="1"/>
                <c:pt idx="0">
                  <c:v>Progress_%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Dashboard!$A$16:$A$23</c:f>
              <c:strCache>
                <c:ptCount val="8"/>
                <c:pt idx="0">
                  <c:v>Brandenburg Solar Park</c:v>
                </c:pt>
                <c:pt idx="1">
                  <c:v>Andalusia Solar Cluster</c:v>
                </c:pt>
                <c:pt idx="2">
                  <c:v>Sicily Agrivoltaic Hub</c:v>
                </c:pt>
                <c:pt idx="3">
                  <c:v>Occitanie Ground Mount</c:v>
                </c:pt>
                <c:pt idx="4">
                  <c:v>North Holland Solar Farm</c:v>
                </c:pt>
                <c:pt idx="5">
                  <c:v>Lower Silesia PV Project</c:v>
                </c:pt>
                <c:pt idx="6">
                  <c:v>Saxony Battery-Ready PV</c:v>
                </c:pt>
                <c:pt idx="7">
                  <c:v>Valencia Hybrid Solar Site</c:v>
                </c:pt>
              </c:strCache>
            </c:strRef>
          </c:cat>
          <c:val>
            <c:numRef>
              <c:f>Dashboard!$B$16:$B$23</c:f>
              <c:numCache>
                <c:formatCode>0.0%</c:formatCode>
                <c:ptCount val="8"/>
                <c:pt idx="0">
                  <c:v>0.64</c:v>
                </c:pt>
                <c:pt idx="1">
                  <c:v>0.54</c:v>
                </c:pt>
                <c:pt idx="2">
                  <c:v>0.44</c:v>
                </c:pt>
                <c:pt idx="3">
                  <c:v>1</c:v>
                </c:pt>
                <c:pt idx="4">
                  <c:v>0.3</c:v>
                </c:pt>
                <c:pt idx="5">
                  <c:v>0.44</c:v>
                </c:pt>
                <c:pt idx="6">
                  <c:v>0.36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0B-4A2D-AC14-3ACA849A4B9C}"/>
            </c:ext>
          </c:extLst>
        </c:ser>
        <c:ser>
          <c:idx val="1"/>
          <c:order val="1"/>
          <c:tx>
            <c:strRef>
              <c:f>Dashboard!$C$15</c:f>
              <c:strCache>
                <c:ptCount val="1"/>
                <c:pt idx="0">
                  <c:v>Risk_Adjusted_Progress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Dashboard!$A$16:$A$23</c:f>
              <c:strCache>
                <c:ptCount val="8"/>
                <c:pt idx="0">
                  <c:v>Brandenburg Solar Park</c:v>
                </c:pt>
                <c:pt idx="1">
                  <c:v>Andalusia Solar Cluster</c:v>
                </c:pt>
                <c:pt idx="2">
                  <c:v>Sicily Agrivoltaic Hub</c:v>
                </c:pt>
                <c:pt idx="3">
                  <c:v>Occitanie Ground Mount</c:v>
                </c:pt>
                <c:pt idx="4">
                  <c:v>North Holland Solar Farm</c:v>
                </c:pt>
                <c:pt idx="5">
                  <c:v>Lower Silesia PV Project</c:v>
                </c:pt>
                <c:pt idx="6">
                  <c:v>Saxony Battery-Ready PV</c:v>
                </c:pt>
                <c:pt idx="7">
                  <c:v>Valencia Hybrid Solar Site</c:v>
                </c:pt>
              </c:strCache>
            </c:strRef>
          </c:cat>
          <c:val>
            <c:numRef>
              <c:f>Dashboard!$C$16:$C$23</c:f>
              <c:numCache>
                <c:formatCode>0.0%</c:formatCode>
                <c:ptCount val="8"/>
                <c:pt idx="0">
                  <c:v>0.48</c:v>
                </c:pt>
                <c:pt idx="1">
                  <c:v>0.48600000000000004</c:v>
                </c:pt>
                <c:pt idx="2">
                  <c:v>0.39600000000000002</c:v>
                </c:pt>
                <c:pt idx="3">
                  <c:v>1</c:v>
                </c:pt>
                <c:pt idx="4">
                  <c:v>0.22499999999999998</c:v>
                </c:pt>
                <c:pt idx="5">
                  <c:v>0.44</c:v>
                </c:pt>
                <c:pt idx="6">
                  <c:v>0.32400000000000001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0B-4A2D-AC14-3ACA849A4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Progress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Project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Projects by Stage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Dashboard!$G$15</c:f>
              <c:strCache>
                <c:ptCount val="1"/>
                <c:pt idx="0">
                  <c:v>Projects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Dashboard!$F$16:$F$18</c:f>
              <c:strCache>
                <c:ptCount val="3"/>
                <c:pt idx="0">
                  <c:v>Development</c:v>
                </c:pt>
                <c:pt idx="1">
                  <c:v>Construction</c:v>
                </c:pt>
                <c:pt idx="2">
                  <c:v>Active</c:v>
                </c:pt>
              </c:strCache>
            </c:strRef>
          </c:cat>
          <c:val>
            <c:numRef>
              <c:f>Dashboard!$G$16:$G$18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1A-4D32-A765-213C07F01CF4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Risk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Dashboard!$G$21</c:f>
              <c:strCache>
                <c:ptCount val="1"/>
                <c:pt idx="0">
                  <c:v>Projects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Dashboard!$F$22:$F$24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Dashboard!$G$22:$G$24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B6-44A7-A557-187E3433C67D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GB"/>
              <a:t>Country Weighted Progress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Dashboard!$J$15</c:f>
              <c:strCache>
                <c:ptCount val="1"/>
                <c:pt idx="0">
                  <c:v>Weighted_Progress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Dashboard!$I$16:$I$21</c:f>
              <c:strCache>
                <c:ptCount val="6"/>
                <c:pt idx="0">
                  <c:v>France</c:v>
                </c:pt>
                <c:pt idx="1">
                  <c:v>Germany</c:v>
                </c:pt>
                <c:pt idx="2">
                  <c:v>Italy</c:v>
                </c:pt>
                <c:pt idx="3">
                  <c:v>Netherlands</c:v>
                </c:pt>
                <c:pt idx="4">
                  <c:v>Poland</c:v>
                </c:pt>
                <c:pt idx="5">
                  <c:v>Spain</c:v>
                </c:pt>
              </c:strCache>
            </c:strRef>
          </c:cat>
          <c:val>
            <c:numRef>
              <c:f>Dashboard!$J$16:$J$21</c:f>
              <c:numCache>
                <c:formatCode>0.0%</c:formatCode>
                <c:ptCount val="6"/>
                <c:pt idx="0">
                  <c:v>1</c:v>
                </c:pt>
                <c:pt idx="1">
                  <c:v>0.5</c:v>
                </c:pt>
                <c:pt idx="2">
                  <c:v>0.44</c:v>
                </c:pt>
                <c:pt idx="3">
                  <c:v>0.3</c:v>
                </c:pt>
                <c:pt idx="4">
                  <c:v>0.44</c:v>
                </c:pt>
                <c:pt idx="5">
                  <c:v>0.77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7-45E7-BB39-F285DCB74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26</xdr:row>
      <xdr:rowOff>0</xdr:rowOff>
    </xdr:from>
    <xdr:ext cx="39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14</xdr:row>
      <xdr:rowOff>0</xdr:rowOff>
    </xdr:from>
    <xdr:ext cx="25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0</xdr:colOff>
      <xdr:row>30</xdr:row>
      <xdr:rowOff>0</xdr:rowOff>
    </xdr:from>
    <xdr:ext cx="252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0</xdr:colOff>
      <xdr:row>26</xdr:row>
      <xdr:rowOff>0</xdr:rowOff>
    </xdr:from>
    <xdr:ext cx="288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showGridLines="0" workbookViewId="0">
      <selection sqref="A1:H1"/>
    </sheetView>
  </sheetViews>
  <sheetFormatPr defaultRowHeight="14.5" x14ac:dyDescent="0.35"/>
  <cols>
    <col min="1" max="1" width="10.7265625" bestFit="1" customWidth="1"/>
    <col min="2" max="2" width="27.90625" customWidth="1"/>
    <col min="3" max="3" width="94" customWidth="1"/>
  </cols>
  <sheetData>
    <row r="1" spans="1:8" ht="24" customHeight="1" x14ac:dyDescent="0.35">
      <c r="A1" s="35" t="s">
        <v>137</v>
      </c>
      <c r="B1" s="36"/>
      <c r="C1" s="36"/>
      <c r="D1" s="36"/>
      <c r="E1" s="36"/>
      <c r="F1" s="36"/>
      <c r="G1" s="36"/>
      <c r="H1" s="36"/>
    </row>
    <row r="2" spans="1:8" ht="20" customHeight="1" x14ac:dyDescent="0.35">
      <c r="A2" s="33" t="s">
        <v>0</v>
      </c>
      <c r="B2" s="34"/>
      <c r="C2" s="34"/>
      <c r="D2" s="34"/>
      <c r="E2" s="34"/>
      <c r="F2" s="34"/>
      <c r="G2" s="34"/>
      <c r="H2" s="34"/>
    </row>
    <row r="4" spans="1:8" ht="22" customHeight="1" x14ac:dyDescent="0.35">
      <c r="A4" s="11" t="s">
        <v>1</v>
      </c>
      <c r="B4" s="11" t="s">
        <v>2</v>
      </c>
      <c r="C4" s="11" t="s">
        <v>3</v>
      </c>
    </row>
    <row r="5" spans="1:8" x14ac:dyDescent="0.35">
      <c r="A5" s="12">
        <v>1</v>
      </c>
      <c r="B5" s="2" t="s">
        <v>4</v>
      </c>
      <c r="C5" s="2" t="s">
        <v>5</v>
      </c>
    </row>
    <row r="6" spans="1:8" x14ac:dyDescent="0.35">
      <c r="A6" s="12">
        <v>2</v>
      </c>
      <c r="B6" s="2" t="s">
        <v>6</v>
      </c>
      <c r="C6" s="2" t="s">
        <v>7</v>
      </c>
    </row>
    <row r="7" spans="1:8" ht="29" x14ac:dyDescent="0.35">
      <c r="A7" s="12">
        <v>3</v>
      </c>
      <c r="B7" s="2" t="s">
        <v>8</v>
      </c>
      <c r="C7" s="2" t="s">
        <v>9</v>
      </c>
    </row>
    <row r="8" spans="1:8" x14ac:dyDescent="0.35">
      <c r="A8" s="12">
        <v>4</v>
      </c>
      <c r="B8" s="2" t="s">
        <v>10</v>
      </c>
      <c r="C8" s="2" t="s">
        <v>11</v>
      </c>
    </row>
    <row r="9" spans="1:8" x14ac:dyDescent="0.35">
      <c r="A9" s="12">
        <v>5</v>
      </c>
      <c r="B9" s="2" t="s">
        <v>12</v>
      </c>
      <c r="C9" s="2" t="s">
        <v>13</v>
      </c>
    </row>
    <row r="11" spans="1:8" x14ac:dyDescent="0.35">
      <c r="A11" t="s">
        <v>14</v>
      </c>
      <c r="B11" t="s">
        <v>15</v>
      </c>
    </row>
  </sheetData>
  <mergeCells count="2">
    <mergeCell ref="A2:H2"/>
    <mergeCell ref="A1:H1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4"/>
  <sheetViews>
    <sheetView showGridLines="0" workbookViewId="0">
      <pane ySplit="4" topLeftCell="A122" activePane="bottomLeft" state="frozen"/>
      <selection pane="bottomLeft" activeCell="C5" sqref="C5"/>
    </sheetView>
  </sheetViews>
  <sheetFormatPr defaultRowHeight="14.5" x14ac:dyDescent="0.35"/>
  <cols>
    <col min="1" max="1" width="12" customWidth="1"/>
    <col min="2" max="2" width="26" customWidth="1"/>
    <col min="3" max="3" width="14" customWidth="1"/>
    <col min="4" max="4" width="18" customWidth="1"/>
    <col min="5" max="5" width="28" customWidth="1"/>
    <col min="6" max="6" width="16" customWidth="1"/>
    <col min="7" max="7" width="22" customWidth="1"/>
    <col min="8" max="9" width="10" customWidth="1"/>
    <col min="10" max="10" width="16" customWidth="1"/>
    <col min="11" max="12" width="14" customWidth="1"/>
    <col min="13" max="13" width="11" customWidth="1"/>
    <col min="14" max="14" width="11.1796875" bestFit="1" customWidth="1"/>
    <col min="15" max="15" width="13" customWidth="1"/>
    <col min="16" max="16" width="12" customWidth="1"/>
  </cols>
  <sheetData>
    <row r="1" spans="1:16" ht="24" customHeight="1" x14ac:dyDescent="0.35">
      <c r="A1" s="35" t="s">
        <v>138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 ht="20" customHeight="1" x14ac:dyDescent="0.35">
      <c r="A2" s="33" t="s">
        <v>16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4" spans="1:16" ht="22" customHeight="1" x14ac:dyDescent="0.35">
      <c r="A4" s="11" t="s">
        <v>17</v>
      </c>
      <c r="B4" s="11" t="s">
        <v>18</v>
      </c>
      <c r="C4" s="11" t="s">
        <v>19</v>
      </c>
      <c r="D4" s="11" t="s">
        <v>20</v>
      </c>
      <c r="E4" s="11" t="s">
        <v>21</v>
      </c>
      <c r="F4" s="11" t="s">
        <v>22</v>
      </c>
      <c r="G4" s="11" t="s">
        <v>23</v>
      </c>
      <c r="H4" s="11" t="s">
        <v>24</v>
      </c>
      <c r="I4" s="11" t="s">
        <v>25</v>
      </c>
      <c r="J4" s="11" t="s">
        <v>26</v>
      </c>
      <c r="K4" s="11" t="s">
        <v>27</v>
      </c>
      <c r="L4" s="11" t="s">
        <v>28</v>
      </c>
      <c r="M4" s="11" t="s">
        <v>29</v>
      </c>
      <c r="N4" s="11" t="s">
        <v>30</v>
      </c>
      <c r="O4" s="21" t="s">
        <v>96</v>
      </c>
      <c r="P4" s="11" t="s">
        <v>31</v>
      </c>
    </row>
    <row r="5" spans="1:16" x14ac:dyDescent="0.35">
      <c r="A5" s="1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4" t="s">
        <v>39</v>
      </c>
      <c r="I5" s="5">
        <v>8</v>
      </c>
      <c r="J5" s="3">
        <f t="shared" ref="J5:J36" si="0">IF(H5="☑",I5,0)</f>
        <v>8</v>
      </c>
      <c r="K5" s="6">
        <v>45933</v>
      </c>
      <c r="L5" s="6">
        <v>45933</v>
      </c>
      <c r="M5" s="7">
        <f t="shared" ref="M5:M36" ca="1" si="1">IF(H5="☑",MAX(0,L5-K5),MAX(0,TODAY()-K5))</f>
        <v>0</v>
      </c>
      <c r="N5" s="7">
        <f t="shared" ref="N5:N68" ca="1" si="2">M5*I5</f>
        <v>0</v>
      </c>
      <c r="O5" s="22" t="str">
        <f ca="1">IF(N5&gt;80,"High",IF(N5&gt;40,"Medium","Low"))</f>
        <v>Low</v>
      </c>
      <c r="P5" s="23" t="s">
        <v>40</v>
      </c>
    </row>
    <row r="6" spans="1:16" x14ac:dyDescent="0.35">
      <c r="A6" s="13" t="s">
        <v>32</v>
      </c>
      <c r="B6" s="3" t="s">
        <v>33</v>
      </c>
      <c r="C6" s="3" t="s">
        <v>34</v>
      </c>
      <c r="D6" s="3" t="s">
        <v>35</v>
      </c>
      <c r="E6" s="3" t="s">
        <v>41</v>
      </c>
      <c r="F6" s="3" t="s">
        <v>37</v>
      </c>
      <c r="G6" s="3" t="s">
        <v>42</v>
      </c>
      <c r="H6" s="4" t="s">
        <v>39</v>
      </c>
      <c r="I6" s="5">
        <v>10</v>
      </c>
      <c r="J6" s="3">
        <f t="shared" si="0"/>
        <v>10</v>
      </c>
      <c r="K6" s="6">
        <v>45973</v>
      </c>
      <c r="L6" s="6">
        <v>45975</v>
      </c>
      <c r="M6" s="7">
        <f t="shared" ca="1" si="1"/>
        <v>2</v>
      </c>
      <c r="N6" s="7">
        <f t="shared" ca="1" si="2"/>
        <v>20</v>
      </c>
      <c r="O6" s="7" t="str">
        <f t="shared" ref="O6:O69" ca="1" si="3">IF(N6&gt;80,"High",IF(N6&gt;40,"Medium","Low"))</f>
        <v>Low</v>
      </c>
      <c r="P6" s="23" t="s">
        <v>43</v>
      </c>
    </row>
    <row r="7" spans="1:16" x14ac:dyDescent="0.35">
      <c r="A7" s="13" t="s">
        <v>32</v>
      </c>
      <c r="B7" s="3" t="s">
        <v>33</v>
      </c>
      <c r="C7" s="3" t="s">
        <v>34</v>
      </c>
      <c r="D7" s="3" t="s">
        <v>35</v>
      </c>
      <c r="E7" s="3" t="s">
        <v>44</v>
      </c>
      <c r="F7" s="3" t="s">
        <v>37</v>
      </c>
      <c r="G7" s="3" t="s">
        <v>45</v>
      </c>
      <c r="H7" s="4" t="s">
        <v>39</v>
      </c>
      <c r="I7" s="5">
        <v>12</v>
      </c>
      <c r="J7" s="3">
        <f t="shared" si="0"/>
        <v>12</v>
      </c>
      <c r="K7" s="6">
        <v>46013</v>
      </c>
      <c r="L7" s="6">
        <v>46018</v>
      </c>
      <c r="M7" s="7">
        <f t="shared" ca="1" si="1"/>
        <v>5</v>
      </c>
      <c r="N7" s="7">
        <f t="shared" ca="1" si="2"/>
        <v>60</v>
      </c>
      <c r="O7" s="7" t="str">
        <f t="shared" ca="1" si="3"/>
        <v>Medium</v>
      </c>
      <c r="P7" s="23" t="s">
        <v>43</v>
      </c>
    </row>
    <row r="8" spans="1:16" x14ac:dyDescent="0.35">
      <c r="A8" s="13" t="s">
        <v>32</v>
      </c>
      <c r="B8" s="3" t="s">
        <v>33</v>
      </c>
      <c r="C8" s="3" t="s">
        <v>34</v>
      </c>
      <c r="D8" s="3" t="s">
        <v>35</v>
      </c>
      <c r="E8" s="3" t="s">
        <v>46</v>
      </c>
      <c r="F8" s="3" t="s">
        <v>37</v>
      </c>
      <c r="G8" s="3" t="s">
        <v>47</v>
      </c>
      <c r="H8" s="4" t="s">
        <v>39</v>
      </c>
      <c r="I8" s="5">
        <v>6</v>
      </c>
      <c r="J8" s="3">
        <f t="shared" si="0"/>
        <v>6</v>
      </c>
      <c r="K8" s="6">
        <v>46053</v>
      </c>
      <c r="L8" s="6">
        <v>46056</v>
      </c>
      <c r="M8" s="7">
        <f t="shared" ca="1" si="1"/>
        <v>3</v>
      </c>
      <c r="N8" s="7">
        <f t="shared" ca="1" si="2"/>
        <v>18</v>
      </c>
      <c r="O8" s="7" t="str">
        <f t="shared" ca="1" si="3"/>
        <v>Low</v>
      </c>
      <c r="P8" s="23" t="s">
        <v>40</v>
      </c>
    </row>
    <row r="9" spans="1:16" x14ac:dyDescent="0.35">
      <c r="A9" s="13" t="s">
        <v>32</v>
      </c>
      <c r="B9" s="3" t="s">
        <v>33</v>
      </c>
      <c r="C9" s="3" t="s">
        <v>34</v>
      </c>
      <c r="D9" s="3" t="s">
        <v>35</v>
      </c>
      <c r="E9" s="3" t="s">
        <v>48</v>
      </c>
      <c r="F9" s="3" t="s">
        <v>49</v>
      </c>
      <c r="G9" s="3" t="s">
        <v>50</v>
      </c>
      <c r="H9" s="4" t="s">
        <v>39</v>
      </c>
      <c r="I9" s="5">
        <v>8</v>
      </c>
      <c r="J9" s="3">
        <f t="shared" si="0"/>
        <v>8</v>
      </c>
      <c r="K9" s="6">
        <v>46093</v>
      </c>
      <c r="L9" s="6">
        <v>46097</v>
      </c>
      <c r="M9" s="7">
        <f t="shared" ca="1" si="1"/>
        <v>4</v>
      </c>
      <c r="N9" s="7">
        <f t="shared" ca="1" si="2"/>
        <v>32</v>
      </c>
      <c r="O9" s="7" t="str">
        <f t="shared" ca="1" si="3"/>
        <v>Low</v>
      </c>
      <c r="P9" s="23" t="s">
        <v>40</v>
      </c>
    </row>
    <row r="10" spans="1:16" x14ac:dyDescent="0.35">
      <c r="A10" s="13" t="s">
        <v>32</v>
      </c>
      <c r="B10" s="3" t="s">
        <v>33</v>
      </c>
      <c r="C10" s="3" t="s">
        <v>34</v>
      </c>
      <c r="D10" s="3" t="s">
        <v>35</v>
      </c>
      <c r="E10" s="3" t="s">
        <v>51</v>
      </c>
      <c r="F10" s="3" t="s">
        <v>49</v>
      </c>
      <c r="G10" s="3" t="s">
        <v>52</v>
      </c>
      <c r="H10" s="4" t="s">
        <v>39</v>
      </c>
      <c r="I10" s="5">
        <v>10</v>
      </c>
      <c r="J10" s="3">
        <f t="shared" si="0"/>
        <v>10</v>
      </c>
      <c r="K10" s="6">
        <v>46143</v>
      </c>
      <c r="L10" s="6">
        <v>46149</v>
      </c>
      <c r="M10" s="7">
        <f t="shared" ca="1" si="1"/>
        <v>6</v>
      </c>
      <c r="N10" s="7">
        <f t="shared" ca="1" si="2"/>
        <v>60</v>
      </c>
      <c r="O10" s="7" t="str">
        <f t="shared" ca="1" si="3"/>
        <v>Medium</v>
      </c>
      <c r="P10" s="23" t="s">
        <v>43</v>
      </c>
    </row>
    <row r="11" spans="1:16" x14ac:dyDescent="0.35">
      <c r="A11" s="13" t="s">
        <v>32</v>
      </c>
      <c r="B11" s="3" t="s">
        <v>33</v>
      </c>
      <c r="C11" s="3" t="s">
        <v>34</v>
      </c>
      <c r="D11" s="3" t="s">
        <v>35</v>
      </c>
      <c r="E11" s="3" t="s">
        <v>53</v>
      </c>
      <c r="F11" s="3" t="s">
        <v>49</v>
      </c>
      <c r="G11" s="3" t="s">
        <v>54</v>
      </c>
      <c r="H11" s="4" t="s">
        <v>39</v>
      </c>
      <c r="I11" s="5">
        <v>10</v>
      </c>
      <c r="J11" s="3">
        <f t="shared" si="0"/>
        <v>10</v>
      </c>
      <c r="K11" s="6">
        <v>46163</v>
      </c>
      <c r="L11" s="6">
        <v>46170</v>
      </c>
      <c r="M11" s="7">
        <f t="shared" ca="1" si="1"/>
        <v>7</v>
      </c>
      <c r="N11" s="7">
        <f t="shared" ca="1" si="2"/>
        <v>70</v>
      </c>
      <c r="O11" s="7" t="str">
        <f t="shared" ca="1" si="3"/>
        <v>Medium</v>
      </c>
      <c r="P11" s="23" t="s">
        <v>43</v>
      </c>
    </row>
    <row r="12" spans="1:16" x14ac:dyDescent="0.35">
      <c r="A12" s="13" t="s">
        <v>32</v>
      </c>
      <c r="B12" s="3" t="s">
        <v>33</v>
      </c>
      <c r="C12" s="3" t="s">
        <v>34</v>
      </c>
      <c r="D12" s="3" t="s">
        <v>35</v>
      </c>
      <c r="E12" s="3" t="s">
        <v>55</v>
      </c>
      <c r="F12" s="3" t="s">
        <v>49</v>
      </c>
      <c r="G12" s="3" t="s">
        <v>54</v>
      </c>
      <c r="H12" s="4" t="s">
        <v>56</v>
      </c>
      <c r="I12" s="5">
        <v>12</v>
      </c>
      <c r="J12" s="3">
        <f t="shared" si="0"/>
        <v>0</v>
      </c>
      <c r="K12" s="6">
        <v>46203</v>
      </c>
      <c r="L12" s="6"/>
      <c r="M12" s="7">
        <f t="shared" ca="1" si="1"/>
        <v>0</v>
      </c>
      <c r="N12" s="7">
        <f t="shared" ca="1" si="2"/>
        <v>0</v>
      </c>
      <c r="O12" s="7" t="str">
        <f t="shared" ca="1" si="3"/>
        <v>Low</v>
      </c>
      <c r="P12" s="23" t="s">
        <v>43</v>
      </c>
    </row>
    <row r="13" spans="1:16" x14ac:dyDescent="0.35">
      <c r="A13" s="13" t="s">
        <v>32</v>
      </c>
      <c r="B13" s="3" t="s">
        <v>33</v>
      </c>
      <c r="C13" s="3" t="s">
        <v>34</v>
      </c>
      <c r="D13" s="3" t="s">
        <v>35</v>
      </c>
      <c r="E13" s="3" t="s">
        <v>57</v>
      </c>
      <c r="F13" s="3" t="s">
        <v>58</v>
      </c>
      <c r="G13" s="3" t="s">
        <v>59</v>
      </c>
      <c r="H13" s="4" t="s">
        <v>56</v>
      </c>
      <c r="I13" s="5">
        <v>10</v>
      </c>
      <c r="J13" s="3">
        <f t="shared" si="0"/>
        <v>0</v>
      </c>
      <c r="K13" s="6">
        <v>46223</v>
      </c>
      <c r="L13" s="6"/>
      <c r="M13" s="7">
        <f t="shared" ca="1" si="1"/>
        <v>0</v>
      </c>
      <c r="N13" s="7">
        <f t="shared" ca="1" si="2"/>
        <v>0</v>
      </c>
      <c r="O13" s="7" t="str">
        <f t="shared" ca="1" si="3"/>
        <v>Low</v>
      </c>
      <c r="P13" s="23" t="s">
        <v>43</v>
      </c>
    </row>
    <row r="14" spans="1:16" x14ac:dyDescent="0.35">
      <c r="A14" s="13" t="s">
        <v>32</v>
      </c>
      <c r="B14" s="3" t="s">
        <v>33</v>
      </c>
      <c r="C14" s="3" t="s">
        <v>34</v>
      </c>
      <c r="D14" s="3" t="s">
        <v>35</v>
      </c>
      <c r="E14" s="3" t="s">
        <v>60</v>
      </c>
      <c r="F14" s="3" t="s">
        <v>58</v>
      </c>
      <c r="G14" s="3" t="s">
        <v>61</v>
      </c>
      <c r="H14" s="4" t="s">
        <v>56</v>
      </c>
      <c r="I14" s="5">
        <v>14</v>
      </c>
      <c r="J14" s="3">
        <f t="shared" si="0"/>
        <v>0</v>
      </c>
      <c r="K14" s="6">
        <v>46233</v>
      </c>
      <c r="L14" s="6"/>
      <c r="M14" s="7">
        <f t="shared" ca="1" si="1"/>
        <v>0</v>
      </c>
      <c r="N14" s="7">
        <f t="shared" ca="1" si="2"/>
        <v>0</v>
      </c>
      <c r="O14" s="7" t="str">
        <f t="shared" ca="1" si="3"/>
        <v>Low</v>
      </c>
      <c r="P14" s="23" t="s">
        <v>43</v>
      </c>
    </row>
    <row r="15" spans="1:16" x14ac:dyDescent="0.35">
      <c r="A15" s="14" t="s">
        <v>62</v>
      </c>
      <c r="B15" s="3" t="s">
        <v>63</v>
      </c>
      <c r="C15" s="3" t="s">
        <v>64</v>
      </c>
      <c r="D15" s="3" t="s">
        <v>65</v>
      </c>
      <c r="E15" s="3" t="s">
        <v>36</v>
      </c>
      <c r="F15" s="3" t="s">
        <v>37</v>
      </c>
      <c r="G15" s="3" t="s">
        <v>38</v>
      </c>
      <c r="H15" s="4" t="s">
        <v>39</v>
      </c>
      <c r="I15" s="5">
        <v>8</v>
      </c>
      <c r="J15" s="3">
        <f t="shared" si="0"/>
        <v>8</v>
      </c>
      <c r="K15" s="6">
        <v>45980</v>
      </c>
      <c r="L15" s="6">
        <v>45980</v>
      </c>
      <c r="M15" s="7">
        <f t="shared" ca="1" si="1"/>
        <v>0</v>
      </c>
      <c r="N15" s="7">
        <f t="shared" ca="1" si="2"/>
        <v>0</v>
      </c>
      <c r="O15" s="7" t="str">
        <f t="shared" ca="1" si="3"/>
        <v>Low</v>
      </c>
      <c r="P15" s="23" t="s">
        <v>40</v>
      </c>
    </row>
    <row r="16" spans="1:16" x14ac:dyDescent="0.35">
      <c r="A16" s="14" t="s">
        <v>62</v>
      </c>
      <c r="B16" s="3" t="s">
        <v>63</v>
      </c>
      <c r="C16" s="3" t="s">
        <v>64</v>
      </c>
      <c r="D16" s="3" t="s">
        <v>65</v>
      </c>
      <c r="E16" s="3" t="s">
        <v>41</v>
      </c>
      <c r="F16" s="3" t="s">
        <v>37</v>
      </c>
      <c r="G16" s="3" t="s">
        <v>42</v>
      </c>
      <c r="H16" s="4" t="s">
        <v>39</v>
      </c>
      <c r="I16" s="5">
        <v>10</v>
      </c>
      <c r="J16" s="3">
        <f t="shared" si="0"/>
        <v>10</v>
      </c>
      <c r="K16" s="6">
        <v>46020</v>
      </c>
      <c r="L16" s="6">
        <v>46020</v>
      </c>
      <c r="M16" s="7">
        <f t="shared" ca="1" si="1"/>
        <v>0</v>
      </c>
      <c r="N16" s="7">
        <f t="shared" ca="1" si="2"/>
        <v>0</v>
      </c>
      <c r="O16" s="7" t="str">
        <f t="shared" ca="1" si="3"/>
        <v>Low</v>
      </c>
      <c r="P16" s="23" t="s">
        <v>43</v>
      </c>
    </row>
    <row r="17" spans="1:16" x14ac:dyDescent="0.35">
      <c r="A17" s="14" t="s">
        <v>62</v>
      </c>
      <c r="B17" s="3" t="s">
        <v>63</v>
      </c>
      <c r="C17" s="3" t="s">
        <v>64</v>
      </c>
      <c r="D17" s="3" t="s">
        <v>65</v>
      </c>
      <c r="E17" s="3" t="s">
        <v>44</v>
      </c>
      <c r="F17" s="3" t="s">
        <v>37</v>
      </c>
      <c r="G17" s="3" t="s">
        <v>45</v>
      </c>
      <c r="H17" s="4" t="s">
        <v>39</v>
      </c>
      <c r="I17" s="5">
        <v>12</v>
      </c>
      <c r="J17" s="3">
        <f t="shared" si="0"/>
        <v>12</v>
      </c>
      <c r="K17" s="6">
        <v>46060</v>
      </c>
      <c r="L17" s="6">
        <v>46061</v>
      </c>
      <c r="M17" s="7">
        <f t="shared" ca="1" si="1"/>
        <v>1</v>
      </c>
      <c r="N17" s="7">
        <f t="shared" ca="1" si="2"/>
        <v>12</v>
      </c>
      <c r="O17" s="7" t="str">
        <f t="shared" ca="1" si="3"/>
        <v>Low</v>
      </c>
      <c r="P17" s="23" t="s">
        <v>43</v>
      </c>
    </row>
    <row r="18" spans="1:16" x14ac:dyDescent="0.35">
      <c r="A18" s="14" t="s">
        <v>62</v>
      </c>
      <c r="B18" s="3" t="s">
        <v>63</v>
      </c>
      <c r="C18" s="3" t="s">
        <v>64</v>
      </c>
      <c r="D18" s="3" t="s">
        <v>65</v>
      </c>
      <c r="E18" s="3" t="s">
        <v>46</v>
      </c>
      <c r="F18" s="3" t="s">
        <v>37</v>
      </c>
      <c r="G18" s="3" t="s">
        <v>47</v>
      </c>
      <c r="H18" s="4" t="s">
        <v>39</v>
      </c>
      <c r="I18" s="5">
        <v>6</v>
      </c>
      <c r="J18" s="3">
        <f t="shared" si="0"/>
        <v>6</v>
      </c>
      <c r="K18" s="6">
        <v>46100</v>
      </c>
      <c r="L18" s="6">
        <v>46102</v>
      </c>
      <c r="M18" s="7">
        <f t="shared" ca="1" si="1"/>
        <v>2</v>
      </c>
      <c r="N18" s="7">
        <f t="shared" ca="1" si="2"/>
        <v>12</v>
      </c>
      <c r="O18" s="7" t="str">
        <f t="shared" ca="1" si="3"/>
        <v>Low</v>
      </c>
      <c r="P18" s="23" t="s">
        <v>40</v>
      </c>
    </row>
    <row r="19" spans="1:16" x14ac:dyDescent="0.35">
      <c r="A19" s="14" t="s">
        <v>62</v>
      </c>
      <c r="B19" s="3" t="s">
        <v>63</v>
      </c>
      <c r="C19" s="3" t="s">
        <v>64</v>
      </c>
      <c r="D19" s="3" t="s">
        <v>65</v>
      </c>
      <c r="E19" s="3" t="s">
        <v>48</v>
      </c>
      <c r="F19" s="3" t="s">
        <v>49</v>
      </c>
      <c r="G19" s="3" t="s">
        <v>50</v>
      </c>
      <c r="H19" s="4" t="s">
        <v>39</v>
      </c>
      <c r="I19" s="5">
        <v>8</v>
      </c>
      <c r="J19" s="3">
        <f t="shared" si="0"/>
        <v>8</v>
      </c>
      <c r="K19" s="6">
        <v>46140</v>
      </c>
      <c r="L19" s="6">
        <v>46144</v>
      </c>
      <c r="M19" s="7">
        <f t="shared" ca="1" si="1"/>
        <v>4</v>
      </c>
      <c r="N19" s="7">
        <f t="shared" ca="1" si="2"/>
        <v>32</v>
      </c>
      <c r="O19" s="7" t="str">
        <f t="shared" ca="1" si="3"/>
        <v>Low</v>
      </c>
      <c r="P19" s="23" t="s">
        <v>40</v>
      </c>
    </row>
    <row r="20" spans="1:16" x14ac:dyDescent="0.35">
      <c r="A20" s="14" t="s">
        <v>62</v>
      </c>
      <c r="B20" s="3" t="s">
        <v>63</v>
      </c>
      <c r="C20" s="3" t="s">
        <v>64</v>
      </c>
      <c r="D20" s="3" t="s">
        <v>65</v>
      </c>
      <c r="E20" s="3" t="s">
        <v>51</v>
      </c>
      <c r="F20" s="3" t="s">
        <v>49</v>
      </c>
      <c r="G20" s="3" t="s">
        <v>52</v>
      </c>
      <c r="H20" s="4" t="s">
        <v>39</v>
      </c>
      <c r="I20" s="5">
        <v>10</v>
      </c>
      <c r="J20" s="3">
        <f t="shared" si="0"/>
        <v>10</v>
      </c>
      <c r="K20" s="6">
        <v>46190</v>
      </c>
      <c r="L20" s="6">
        <v>46196</v>
      </c>
      <c r="M20" s="7">
        <f t="shared" ca="1" si="1"/>
        <v>6</v>
      </c>
      <c r="N20" s="7">
        <f t="shared" ca="1" si="2"/>
        <v>60</v>
      </c>
      <c r="O20" s="7" t="str">
        <f t="shared" ca="1" si="3"/>
        <v>Medium</v>
      </c>
      <c r="P20" s="23" t="s">
        <v>43</v>
      </c>
    </row>
    <row r="21" spans="1:16" x14ac:dyDescent="0.35">
      <c r="A21" s="14" t="s">
        <v>62</v>
      </c>
      <c r="B21" s="3" t="s">
        <v>63</v>
      </c>
      <c r="C21" s="3" t="s">
        <v>64</v>
      </c>
      <c r="D21" s="3" t="s">
        <v>65</v>
      </c>
      <c r="E21" s="3" t="s">
        <v>53</v>
      </c>
      <c r="F21" s="3" t="s">
        <v>49</v>
      </c>
      <c r="G21" s="3" t="s">
        <v>54</v>
      </c>
      <c r="H21" s="4" t="s">
        <v>56</v>
      </c>
      <c r="I21" s="5">
        <v>10</v>
      </c>
      <c r="J21" s="3">
        <f t="shared" si="0"/>
        <v>0</v>
      </c>
      <c r="K21" s="6">
        <v>46210</v>
      </c>
      <c r="L21" s="6"/>
      <c r="M21" s="7">
        <f t="shared" ca="1" si="1"/>
        <v>0</v>
      </c>
      <c r="N21" s="7">
        <f t="shared" ca="1" si="2"/>
        <v>0</v>
      </c>
      <c r="O21" s="7" t="str">
        <f t="shared" ca="1" si="3"/>
        <v>Low</v>
      </c>
      <c r="P21" s="23" t="s">
        <v>43</v>
      </c>
    </row>
    <row r="22" spans="1:16" x14ac:dyDescent="0.35">
      <c r="A22" s="14" t="s">
        <v>62</v>
      </c>
      <c r="B22" s="3" t="s">
        <v>63</v>
      </c>
      <c r="C22" s="3" t="s">
        <v>64</v>
      </c>
      <c r="D22" s="3" t="s">
        <v>65</v>
      </c>
      <c r="E22" s="3" t="s">
        <v>55</v>
      </c>
      <c r="F22" s="3" t="s">
        <v>49</v>
      </c>
      <c r="G22" s="3" t="s">
        <v>54</v>
      </c>
      <c r="H22" s="4" t="s">
        <v>56</v>
      </c>
      <c r="I22" s="5">
        <v>12</v>
      </c>
      <c r="J22" s="3">
        <f t="shared" si="0"/>
        <v>0</v>
      </c>
      <c r="K22" s="6">
        <v>46250</v>
      </c>
      <c r="L22" s="6"/>
      <c r="M22" s="7">
        <f t="shared" ca="1" si="1"/>
        <v>0</v>
      </c>
      <c r="N22" s="7">
        <f t="shared" ca="1" si="2"/>
        <v>0</v>
      </c>
      <c r="O22" s="7" t="str">
        <f t="shared" ca="1" si="3"/>
        <v>Low</v>
      </c>
      <c r="P22" s="23" t="s">
        <v>43</v>
      </c>
    </row>
    <row r="23" spans="1:16" x14ac:dyDescent="0.35">
      <c r="A23" s="14" t="s">
        <v>62</v>
      </c>
      <c r="B23" s="3" t="s">
        <v>63</v>
      </c>
      <c r="C23" s="3" t="s">
        <v>64</v>
      </c>
      <c r="D23" s="3" t="s">
        <v>65</v>
      </c>
      <c r="E23" s="3" t="s">
        <v>57</v>
      </c>
      <c r="F23" s="3" t="s">
        <v>58</v>
      </c>
      <c r="G23" s="3" t="s">
        <v>59</v>
      </c>
      <c r="H23" s="4" t="s">
        <v>56</v>
      </c>
      <c r="I23" s="5">
        <v>10</v>
      </c>
      <c r="J23" s="3">
        <f t="shared" si="0"/>
        <v>0</v>
      </c>
      <c r="K23" s="6">
        <v>46270</v>
      </c>
      <c r="L23" s="6"/>
      <c r="M23" s="7">
        <f t="shared" ca="1" si="1"/>
        <v>0</v>
      </c>
      <c r="N23" s="7">
        <f t="shared" ca="1" si="2"/>
        <v>0</v>
      </c>
      <c r="O23" s="7" t="str">
        <f t="shared" ca="1" si="3"/>
        <v>Low</v>
      </c>
      <c r="P23" s="23" t="s">
        <v>43</v>
      </c>
    </row>
    <row r="24" spans="1:16" x14ac:dyDescent="0.35">
      <c r="A24" s="14" t="s">
        <v>62</v>
      </c>
      <c r="B24" s="3" t="s">
        <v>63</v>
      </c>
      <c r="C24" s="3" t="s">
        <v>64</v>
      </c>
      <c r="D24" s="3" t="s">
        <v>65</v>
      </c>
      <c r="E24" s="3" t="s">
        <v>60</v>
      </c>
      <c r="F24" s="3" t="s">
        <v>58</v>
      </c>
      <c r="G24" s="3" t="s">
        <v>61</v>
      </c>
      <c r="H24" s="4" t="s">
        <v>56</v>
      </c>
      <c r="I24" s="5">
        <v>14</v>
      </c>
      <c r="J24" s="3">
        <f t="shared" si="0"/>
        <v>0</v>
      </c>
      <c r="K24" s="6">
        <v>46280</v>
      </c>
      <c r="L24" s="6"/>
      <c r="M24" s="7">
        <f t="shared" ca="1" si="1"/>
        <v>0</v>
      </c>
      <c r="N24" s="7">
        <f t="shared" ca="1" si="2"/>
        <v>0</v>
      </c>
      <c r="O24" s="7" t="str">
        <f t="shared" ca="1" si="3"/>
        <v>Low</v>
      </c>
      <c r="P24" s="23" t="s">
        <v>43</v>
      </c>
    </row>
    <row r="25" spans="1:16" x14ac:dyDescent="0.35">
      <c r="A25" s="15" t="s">
        <v>66</v>
      </c>
      <c r="B25" s="3" t="s">
        <v>67</v>
      </c>
      <c r="C25" s="3" t="s">
        <v>68</v>
      </c>
      <c r="D25" s="3" t="s">
        <v>69</v>
      </c>
      <c r="E25" s="3" t="s">
        <v>36</v>
      </c>
      <c r="F25" s="3" t="s">
        <v>37</v>
      </c>
      <c r="G25" s="3" t="s">
        <v>38</v>
      </c>
      <c r="H25" s="4" t="s">
        <v>39</v>
      </c>
      <c r="I25" s="5">
        <v>8</v>
      </c>
      <c r="J25" s="3">
        <f t="shared" si="0"/>
        <v>8</v>
      </c>
      <c r="K25" s="6">
        <v>46005</v>
      </c>
      <c r="L25" s="6">
        <v>46005</v>
      </c>
      <c r="M25" s="7">
        <f t="shared" ca="1" si="1"/>
        <v>0</v>
      </c>
      <c r="N25" s="7">
        <f t="shared" ca="1" si="2"/>
        <v>0</v>
      </c>
      <c r="O25" s="7" t="str">
        <f t="shared" ca="1" si="3"/>
        <v>Low</v>
      </c>
      <c r="P25" s="23" t="s">
        <v>40</v>
      </c>
    </row>
    <row r="26" spans="1:16" x14ac:dyDescent="0.35">
      <c r="A26" s="15" t="s">
        <v>66</v>
      </c>
      <c r="B26" s="3" t="s">
        <v>67</v>
      </c>
      <c r="C26" s="3" t="s">
        <v>68</v>
      </c>
      <c r="D26" s="3" t="s">
        <v>69</v>
      </c>
      <c r="E26" s="3" t="s">
        <v>41</v>
      </c>
      <c r="F26" s="3" t="s">
        <v>37</v>
      </c>
      <c r="G26" s="3" t="s">
        <v>42</v>
      </c>
      <c r="H26" s="4" t="s">
        <v>39</v>
      </c>
      <c r="I26" s="5">
        <v>10</v>
      </c>
      <c r="J26" s="3">
        <f t="shared" si="0"/>
        <v>10</v>
      </c>
      <c r="K26" s="6">
        <v>46045</v>
      </c>
      <c r="L26" s="6">
        <v>46046</v>
      </c>
      <c r="M26" s="7">
        <f t="shared" ca="1" si="1"/>
        <v>1</v>
      </c>
      <c r="N26" s="7">
        <f t="shared" ca="1" si="2"/>
        <v>10</v>
      </c>
      <c r="O26" s="7" t="str">
        <f t="shared" ca="1" si="3"/>
        <v>Low</v>
      </c>
      <c r="P26" s="23" t="s">
        <v>43</v>
      </c>
    </row>
    <row r="27" spans="1:16" x14ac:dyDescent="0.35">
      <c r="A27" s="15" t="s">
        <v>66</v>
      </c>
      <c r="B27" s="3" t="s">
        <v>67</v>
      </c>
      <c r="C27" s="3" t="s">
        <v>68</v>
      </c>
      <c r="D27" s="3" t="s">
        <v>69</v>
      </c>
      <c r="E27" s="3" t="s">
        <v>44</v>
      </c>
      <c r="F27" s="3" t="s">
        <v>37</v>
      </c>
      <c r="G27" s="3" t="s">
        <v>45</v>
      </c>
      <c r="H27" s="4" t="s">
        <v>39</v>
      </c>
      <c r="I27" s="5">
        <v>12</v>
      </c>
      <c r="J27" s="3">
        <f t="shared" si="0"/>
        <v>12</v>
      </c>
      <c r="K27" s="6">
        <v>46085</v>
      </c>
      <c r="L27" s="6">
        <v>46087</v>
      </c>
      <c r="M27" s="7">
        <f t="shared" ca="1" si="1"/>
        <v>2</v>
      </c>
      <c r="N27" s="7">
        <f t="shared" ca="1" si="2"/>
        <v>24</v>
      </c>
      <c r="O27" s="7" t="str">
        <f t="shared" ca="1" si="3"/>
        <v>Low</v>
      </c>
      <c r="P27" s="23" t="s">
        <v>43</v>
      </c>
    </row>
    <row r="28" spans="1:16" x14ac:dyDescent="0.35">
      <c r="A28" s="15" t="s">
        <v>66</v>
      </c>
      <c r="B28" s="3" t="s">
        <v>67</v>
      </c>
      <c r="C28" s="3" t="s">
        <v>68</v>
      </c>
      <c r="D28" s="3" t="s">
        <v>69</v>
      </c>
      <c r="E28" s="3" t="s">
        <v>46</v>
      </c>
      <c r="F28" s="3" t="s">
        <v>37</v>
      </c>
      <c r="G28" s="3" t="s">
        <v>47</v>
      </c>
      <c r="H28" s="4" t="s">
        <v>39</v>
      </c>
      <c r="I28" s="5">
        <v>6</v>
      </c>
      <c r="J28" s="3">
        <f t="shared" si="0"/>
        <v>6</v>
      </c>
      <c r="K28" s="6">
        <v>46125</v>
      </c>
      <c r="L28" s="6">
        <v>46126</v>
      </c>
      <c r="M28" s="7">
        <f t="shared" ca="1" si="1"/>
        <v>1</v>
      </c>
      <c r="N28" s="7">
        <f t="shared" ca="1" si="2"/>
        <v>6</v>
      </c>
      <c r="O28" s="7" t="str">
        <f t="shared" ca="1" si="3"/>
        <v>Low</v>
      </c>
      <c r="P28" s="23" t="s">
        <v>40</v>
      </c>
    </row>
    <row r="29" spans="1:16" x14ac:dyDescent="0.35">
      <c r="A29" s="15" t="s">
        <v>66</v>
      </c>
      <c r="B29" s="3" t="s">
        <v>67</v>
      </c>
      <c r="C29" s="3" t="s">
        <v>68</v>
      </c>
      <c r="D29" s="3" t="s">
        <v>69</v>
      </c>
      <c r="E29" s="3" t="s">
        <v>48</v>
      </c>
      <c r="F29" s="3" t="s">
        <v>49</v>
      </c>
      <c r="G29" s="3" t="s">
        <v>50</v>
      </c>
      <c r="H29" s="4" t="s">
        <v>39</v>
      </c>
      <c r="I29" s="5">
        <v>8</v>
      </c>
      <c r="J29" s="3">
        <f t="shared" si="0"/>
        <v>8</v>
      </c>
      <c r="K29" s="6">
        <v>46165</v>
      </c>
      <c r="L29" s="6">
        <v>46167</v>
      </c>
      <c r="M29" s="7">
        <f t="shared" ca="1" si="1"/>
        <v>2</v>
      </c>
      <c r="N29" s="7">
        <f t="shared" ca="1" si="2"/>
        <v>16</v>
      </c>
      <c r="O29" s="7" t="str">
        <f t="shared" ca="1" si="3"/>
        <v>Low</v>
      </c>
      <c r="P29" s="23" t="s">
        <v>40</v>
      </c>
    </row>
    <row r="30" spans="1:16" x14ac:dyDescent="0.35">
      <c r="A30" s="15" t="s">
        <v>66</v>
      </c>
      <c r="B30" s="3" t="s">
        <v>67</v>
      </c>
      <c r="C30" s="3" t="s">
        <v>68</v>
      </c>
      <c r="D30" s="3" t="s">
        <v>69</v>
      </c>
      <c r="E30" s="3" t="s">
        <v>51</v>
      </c>
      <c r="F30" s="3" t="s">
        <v>49</v>
      </c>
      <c r="G30" s="3" t="s">
        <v>52</v>
      </c>
      <c r="H30" s="4" t="s">
        <v>56</v>
      </c>
      <c r="I30" s="5">
        <v>10</v>
      </c>
      <c r="J30" s="3">
        <f t="shared" si="0"/>
        <v>0</v>
      </c>
      <c r="K30" s="6">
        <v>46215</v>
      </c>
      <c r="L30" s="6"/>
      <c r="M30" s="7">
        <f t="shared" ca="1" si="1"/>
        <v>0</v>
      </c>
      <c r="N30" s="7">
        <f t="shared" ca="1" si="2"/>
        <v>0</v>
      </c>
      <c r="O30" s="7" t="str">
        <f t="shared" ca="1" si="3"/>
        <v>Low</v>
      </c>
      <c r="P30" s="23" t="s">
        <v>43</v>
      </c>
    </row>
    <row r="31" spans="1:16" x14ac:dyDescent="0.35">
      <c r="A31" s="15" t="s">
        <v>66</v>
      </c>
      <c r="B31" s="3" t="s">
        <v>67</v>
      </c>
      <c r="C31" s="3" t="s">
        <v>68</v>
      </c>
      <c r="D31" s="3" t="s">
        <v>69</v>
      </c>
      <c r="E31" s="3" t="s">
        <v>53</v>
      </c>
      <c r="F31" s="3" t="s">
        <v>49</v>
      </c>
      <c r="G31" s="3" t="s">
        <v>54</v>
      </c>
      <c r="H31" s="4" t="s">
        <v>56</v>
      </c>
      <c r="I31" s="5">
        <v>10</v>
      </c>
      <c r="J31" s="3">
        <f t="shared" si="0"/>
        <v>0</v>
      </c>
      <c r="K31" s="6">
        <v>46235</v>
      </c>
      <c r="L31" s="6"/>
      <c r="M31" s="7">
        <f t="shared" ca="1" si="1"/>
        <v>0</v>
      </c>
      <c r="N31" s="7">
        <f t="shared" ca="1" si="2"/>
        <v>0</v>
      </c>
      <c r="O31" s="7" t="str">
        <f t="shared" ca="1" si="3"/>
        <v>Low</v>
      </c>
      <c r="P31" s="23" t="s">
        <v>43</v>
      </c>
    </row>
    <row r="32" spans="1:16" x14ac:dyDescent="0.35">
      <c r="A32" s="15" t="s">
        <v>66</v>
      </c>
      <c r="B32" s="3" t="s">
        <v>67</v>
      </c>
      <c r="C32" s="3" t="s">
        <v>68</v>
      </c>
      <c r="D32" s="3" t="s">
        <v>69</v>
      </c>
      <c r="E32" s="3" t="s">
        <v>55</v>
      </c>
      <c r="F32" s="3" t="s">
        <v>49</v>
      </c>
      <c r="G32" s="3" t="s">
        <v>54</v>
      </c>
      <c r="H32" s="4" t="s">
        <v>56</v>
      </c>
      <c r="I32" s="5">
        <v>12</v>
      </c>
      <c r="J32" s="3">
        <f t="shared" si="0"/>
        <v>0</v>
      </c>
      <c r="K32" s="6">
        <v>46275</v>
      </c>
      <c r="L32" s="6"/>
      <c r="M32" s="7">
        <f t="shared" ca="1" si="1"/>
        <v>0</v>
      </c>
      <c r="N32" s="7">
        <f t="shared" ca="1" si="2"/>
        <v>0</v>
      </c>
      <c r="O32" s="7" t="str">
        <f t="shared" ca="1" si="3"/>
        <v>Low</v>
      </c>
      <c r="P32" s="23" t="s">
        <v>43</v>
      </c>
    </row>
    <row r="33" spans="1:16" x14ac:dyDescent="0.35">
      <c r="A33" s="15" t="s">
        <v>66</v>
      </c>
      <c r="B33" s="3" t="s">
        <v>67</v>
      </c>
      <c r="C33" s="3" t="s">
        <v>68</v>
      </c>
      <c r="D33" s="3" t="s">
        <v>69</v>
      </c>
      <c r="E33" s="3" t="s">
        <v>57</v>
      </c>
      <c r="F33" s="3" t="s">
        <v>58</v>
      </c>
      <c r="G33" s="3" t="s">
        <v>59</v>
      </c>
      <c r="H33" s="4" t="s">
        <v>56</v>
      </c>
      <c r="I33" s="5">
        <v>10</v>
      </c>
      <c r="J33" s="3">
        <f t="shared" si="0"/>
        <v>0</v>
      </c>
      <c r="K33" s="6">
        <v>46295</v>
      </c>
      <c r="L33" s="6"/>
      <c r="M33" s="7">
        <f t="shared" ca="1" si="1"/>
        <v>0</v>
      </c>
      <c r="N33" s="7">
        <f t="shared" ca="1" si="2"/>
        <v>0</v>
      </c>
      <c r="O33" s="7" t="str">
        <f t="shared" ca="1" si="3"/>
        <v>Low</v>
      </c>
      <c r="P33" s="23" t="s">
        <v>43</v>
      </c>
    </row>
    <row r="34" spans="1:16" x14ac:dyDescent="0.35">
      <c r="A34" s="15" t="s">
        <v>66</v>
      </c>
      <c r="B34" s="3" t="s">
        <v>67</v>
      </c>
      <c r="C34" s="3" t="s">
        <v>68</v>
      </c>
      <c r="D34" s="3" t="s">
        <v>69</v>
      </c>
      <c r="E34" s="3" t="s">
        <v>60</v>
      </c>
      <c r="F34" s="3" t="s">
        <v>58</v>
      </c>
      <c r="G34" s="3" t="s">
        <v>61</v>
      </c>
      <c r="H34" s="4" t="s">
        <v>56</v>
      </c>
      <c r="I34" s="5">
        <v>14</v>
      </c>
      <c r="J34" s="3">
        <f t="shared" si="0"/>
        <v>0</v>
      </c>
      <c r="K34" s="6">
        <v>46305</v>
      </c>
      <c r="L34" s="6"/>
      <c r="M34" s="7">
        <f t="shared" ca="1" si="1"/>
        <v>0</v>
      </c>
      <c r="N34" s="7">
        <f t="shared" ca="1" si="2"/>
        <v>0</v>
      </c>
      <c r="O34" s="7" t="str">
        <f t="shared" ca="1" si="3"/>
        <v>Low</v>
      </c>
      <c r="P34" s="23" t="s">
        <v>43</v>
      </c>
    </row>
    <row r="35" spans="1:16" x14ac:dyDescent="0.35">
      <c r="A35" s="16" t="s">
        <v>70</v>
      </c>
      <c r="B35" s="3" t="s">
        <v>71</v>
      </c>
      <c r="C35" s="3" t="s">
        <v>72</v>
      </c>
      <c r="D35" s="3" t="s">
        <v>73</v>
      </c>
      <c r="E35" s="3" t="s">
        <v>36</v>
      </c>
      <c r="F35" s="3" t="s">
        <v>37</v>
      </c>
      <c r="G35" s="3" t="s">
        <v>38</v>
      </c>
      <c r="H35" s="4" t="s">
        <v>39</v>
      </c>
      <c r="I35" s="5">
        <v>8</v>
      </c>
      <c r="J35" s="3">
        <f t="shared" si="0"/>
        <v>8</v>
      </c>
      <c r="K35" s="6">
        <v>45782</v>
      </c>
      <c r="L35" s="6">
        <v>45782</v>
      </c>
      <c r="M35" s="7">
        <f t="shared" ca="1" si="1"/>
        <v>0</v>
      </c>
      <c r="N35" s="7">
        <f t="shared" ca="1" si="2"/>
        <v>0</v>
      </c>
      <c r="O35" s="7" t="str">
        <f t="shared" ca="1" si="3"/>
        <v>Low</v>
      </c>
      <c r="P35" s="23" t="s">
        <v>40</v>
      </c>
    </row>
    <row r="36" spans="1:16" x14ac:dyDescent="0.35">
      <c r="A36" s="16" t="s">
        <v>70</v>
      </c>
      <c r="B36" s="3" t="s">
        <v>71</v>
      </c>
      <c r="C36" s="3" t="s">
        <v>72</v>
      </c>
      <c r="D36" s="3" t="s">
        <v>73</v>
      </c>
      <c r="E36" s="3" t="s">
        <v>41</v>
      </c>
      <c r="F36" s="3" t="s">
        <v>37</v>
      </c>
      <c r="G36" s="3" t="s">
        <v>42</v>
      </c>
      <c r="H36" s="4" t="s">
        <v>39</v>
      </c>
      <c r="I36" s="5">
        <v>10</v>
      </c>
      <c r="J36" s="3">
        <f t="shared" si="0"/>
        <v>10</v>
      </c>
      <c r="K36" s="6">
        <v>45822</v>
      </c>
      <c r="L36" s="6">
        <v>45822</v>
      </c>
      <c r="M36" s="7">
        <f t="shared" ca="1" si="1"/>
        <v>0</v>
      </c>
      <c r="N36" s="7">
        <f t="shared" ca="1" si="2"/>
        <v>0</v>
      </c>
      <c r="O36" s="7" t="str">
        <f t="shared" ca="1" si="3"/>
        <v>Low</v>
      </c>
      <c r="P36" s="23" t="s">
        <v>43</v>
      </c>
    </row>
    <row r="37" spans="1:16" x14ac:dyDescent="0.35">
      <c r="A37" s="16" t="s">
        <v>70</v>
      </c>
      <c r="B37" s="3" t="s">
        <v>71</v>
      </c>
      <c r="C37" s="3" t="s">
        <v>72</v>
      </c>
      <c r="D37" s="3" t="s">
        <v>73</v>
      </c>
      <c r="E37" s="3" t="s">
        <v>44</v>
      </c>
      <c r="F37" s="3" t="s">
        <v>37</v>
      </c>
      <c r="G37" s="3" t="s">
        <v>45</v>
      </c>
      <c r="H37" s="4" t="s">
        <v>39</v>
      </c>
      <c r="I37" s="5">
        <v>12</v>
      </c>
      <c r="J37" s="3">
        <f t="shared" ref="J37:J68" si="4">IF(H37="☑",I37,0)</f>
        <v>12</v>
      </c>
      <c r="K37" s="6">
        <v>45862</v>
      </c>
      <c r="L37" s="6">
        <v>45862</v>
      </c>
      <c r="M37" s="7">
        <f t="shared" ref="M37:M68" ca="1" si="5">IF(H37="☑",MAX(0,L37-K37),MAX(0,TODAY()-K37))</f>
        <v>0</v>
      </c>
      <c r="N37" s="7">
        <f t="shared" ca="1" si="2"/>
        <v>0</v>
      </c>
      <c r="O37" s="7" t="str">
        <f t="shared" ca="1" si="3"/>
        <v>Low</v>
      </c>
      <c r="P37" s="23" t="s">
        <v>43</v>
      </c>
    </row>
    <row r="38" spans="1:16" x14ac:dyDescent="0.35">
      <c r="A38" s="16" t="s">
        <v>70</v>
      </c>
      <c r="B38" s="3" t="s">
        <v>71</v>
      </c>
      <c r="C38" s="3" t="s">
        <v>72</v>
      </c>
      <c r="D38" s="3" t="s">
        <v>73</v>
      </c>
      <c r="E38" s="3" t="s">
        <v>46</v>
      </c>
      <c r="F38" s="3" t="s">
        <v>37</v>
      </c>
      <c r="G38" s="3" t="s">
        <v>47</v>
      </c>
      <c r="H38" s="4" t="s">
        <v>39</v>
      </c>
      <c r="I38" s="5">
        <v>6</v>
      </c>
      <c r="J38" s="3">
        <f t="shared" si="4"/>
        <v>6</v>
      </c>
      <c r="K38" s="6">
        <v>45902</v>
      </c>
      <c r="L38" s="6">
        <v>45902</v>
      </c>
      <c r="M38" s="7">
        <f t="shared" ca="1" si="5"/>
        <v>0</v>
      </c>
      <c r="N38" s="7">
        <f t="shared" ca="1" si="2"/>
        <v>0</v>
      </c>
      <c r="O38" s="7" t="str">
        <f t="shared" ca="1" si="3"/>
        <v>Low</v>
      </c>
      <c r="P38" s="23" t="s">
        <v>40</v>
      </c>
    </row>
    <row r="39" spans="1:16" x14ac:dyDescent="0.35">
      <c r="A39" s="16" t="s">
        <v>70</v>
      </c>
      <c r="B39" s="3" t="s">
        <v>71</v>
      </c>
      <c r="C39" s="3" t="s">
        <v>72</v>
      </c>
      <c r="D39" s="3" t="s">
        <v>73</v>
      </c>
      <c r="E39" s="3" t="s">
        <v>48</v>
      </c>
      <c r="F39" s="3" t="s">
        <v>49</v>
      </c>
      <c r="G39" s="3" t="s">
        <v>50</v>
      </c>
      <c r="H39" s="4" t="s">
        <v>39</v>
      </c>
      <c r="I39" s="5">
        <v>8</v>
      </c>
      <c r="J39" s="3">
        <f t="shared" si="4"/>
        <v>8</v>
      </c>
      <c r="K39" s="6">
        <v>45942</v>
      </c>
      <c r="L39" s="6">
        <v>45944</v>
      </c>
      <c r="M39" s="7">
        <f t="shared" ca="1" si="5"/>
        <v>2</v>
      </c>
      <c r="N39" s="7">
        <f t="shared" ca="1" si="2"/>
        <v>16</v>
      </c>
      <c r="O39" s="7" t="str">
        <f t="shared" ca="1" si="3"/>
        <v>Low</v>
      </c>
      <c r="P39" s="23" t="s">
        <v>40</v>
      </c>
    </row>
    <row r="40" spans="1:16" x14ac:dyDescent="0.35">
      <c r="A40" s="16" t="s">
        <v>70</v>
      </c>
      <c r="B40" s="3" t="s">
        <v>71</v>
      </c>
      <c r="C40" s="3" t="s">
        <v>72</v>
      </c>
      <c r="D40" s="3" t="s">
        <v>73</v>
      </c>
      <c r="E40" s="3" t="s">
        <v>51</v>
      </c>
      <c r="F40" s="3" t="s">
        <v>49</v>
      </c>
      <c r="G40" s="3" t="s">
        <v>52</v>
      </c>
      <c r="H40" s="4" t="s">
        <v>39</v>
      </c>
      <c r="I40" s="5">
        <v>10</v>
      </c>
      <c r="J40" s="3">
        <f t="shared" si="4"/>
        <v>10</v>
      </c>
      <c r="K40" s="6">
        <v>45992</v>
      </c>
      <c r="L40" s="6">
        <v>45993</v>
      </c>
      <c r="M40" s="7">
        <f t="shared" ca="1" si="5"/>
        <v>1</v>
      </c>
      <c r="N40" s="7">
        <f t="shared" ca="1" si="2"/>
        <v>10</v>
      </c>
      <c r="O40" s="7" t="str">
        <f t="shared" ca="1" si="3"/>
        <v>Low</v>
      </c>
      <c r="P40" s="23" t="s">
        <v>43</v>
      </c>
    </row>
    <row r="41" spans="1:16" x14ac:dyDescent="0.35">
      <c r="A41" s="16" t="s">
        <v>70</v>
      </c>
      <c r="B41" s="3" t="s">
        <v>71</v>
      </c>
      <c r="C41" s="3" t="s">
        <v>72</v>
      </c>
      <c r="D41" s="3" t="s">
        <v>73</v>
      </c>
      <c r="E41" s="3" t="s">
        <v>53</v>
      </c>
      <c r="F41" s="3" t="s">
        <v>49</v>
      </c>
      <c r="G41" s="3" t="s">
        <v>54</v>
      </c>
      <c r="H41" s="4" t="s">
        <v>39</v>
      </c>
      <c r="I41" s="5">
        <v>10</v>
      </c>
      <c r="J41" s="3">
        <f t="shared" si="4"/>
        <v>10</v>
      </c>
      <c r="K41" s="6">
        <v>46012</v>
      </c>
      <c r="L41" s="6">
        <v>46012</v>
      </c>
      <c r="M41" s="7">
        <f t="shared" ca="1" si="5"/>
        <v>0</v>
      </c>
      <c r="N41" s="7">
        <f t="shared" ca="1" si="2"/>
        <v>0</v>
      </c>
      <c r="O41" s="7" t="str">
        <f t="shared" ca="1" si="3"/>
        <v>Low</v>
      </c>
      <c r="P41" s="23" t="s">
        <v>43</v>
      </c>
    </row>
    <row r="42" spans="1:16" x14ac:dyDescent="0.35">
      <c r="A42" s="16" t="s">
        <v>70</v>
      </c>
      <c r="B42" s="3" t="s">
        <v>71</v>
      </c>
      <c r="C42" s="3" t="s">
        <v>72</v>
      </c>
      <c r="D42" s="3" t="s">
        <v>73</v>
      </c>
      <c r="E42" s="3" t="s">
        <v>55</v>
      </c>
      <c r="F42" s="3" t="s">
        <v>49</v>
      </c>
      <c r="G42" s="3" t="s">
        <v>54</v>
      </c>
      <c r="H42" s="4" t="s">
        <v>39</v>
      </c>
      <c r="I42" s="5">
        <v>12</v>
      </c>
      <c r="J42" s="3">
        <f t="shared" si="4"/>
        <v>12</v>
      </c>
      <c r="K42" s="6">
        <v>46052</v>
      </c>
      <c r="L42" s="6">
        <v>46052</v>
      </c>
      <c r="M42" s="7">
        <f t="shared" ca="1" si="5"/>
        <v>0</v>
      </c>
      <c r="N42" s="7">
        <f t="shared" ca="1" si="2"/>
        <v>0</v>
      </c>
      <c r="O42" s="7" t="str">
        <f t="shared" ca="1" si="3"/>
        <v>Low</v>
      </c>
      <c r="P42" s="23" t="s">
        <v>43</v>
      </c>
    </row>
    <row r="43" spans="1:16" x14ac:dyDescent="0.35">
      <c r="A43" s="16" t="s">
        <v>70</v>
      </c>
      <c r="B43" s="3" t="s">
        <v>71</v>
      </c>
      <c r="C43" s="3" t="s">
        <v>72</v>
      </c>
      <c r="D43" s="3" t="s">
        <v>73</v>
      </c>
      <c r="E43" s="3" t="s">
        <v>57</v>
      </c>
      <c r="F43" s="3" t="s">
        <v>58</v>
      </c>
      <c r="G43" s="3" t="s">
        <v>59</v>
      </c>
      <c r="H43" s="4" t="s">
        <v>39</v>
      </c>
      <c r="I43" s="5">
        <v>10</v>
      </c>
      <c r="J43" s="3">
        <f t="shared" si="4"/>
        <v>10</v>
      </c>
      <c r="K43" s="6">
        <v>46072</v>
      </c>
      <c r="L43" s="6">
        <v>46072</v>
      </c>
      <c r="M43" s="7">
        <f t="shared" ca="1" si="5"/>
        <v>0</v>
      </c>
      <c r="N43" s="7">
        <f t="shared" ca="1" si="2"/>
        <v>0</v>
      </c>
      <c r="O43" s="7" t="str">
        <f t="shared" ca="1" si="3"/>
        <v>Low</v>
      </c>
      <c r="P43" s="23" t="s">
        <v>43</v>
      </c>
    </row>
    <row r="44" spans="1:16" x14ac:dyDescent="0.35">
      <c r="A44" s="16" t="s">
        <v>70</v>
      </c>
      <c r="B44" s="3" t="s">
        <v>71</v>
      </c>
      <c r="C44" s="3" t="s">
        <v>72</v>
      </c>
      <c r="D44" s="3" t="s">
        <v>73</v>
      </c>
      <c r="E44" s="3" t="s">
        <v>60</v>
      </c>
      <c r="F44" s="3" t="s">
        <v>58</v>
      </c>
      <c r="G44" s="3" t="s">
        <v>61</v>
      </c>
      <c r="H44" s="4" t="s">
        <v>39</v>
      </c>
      <c r="I44" s="5">
        <v>14</v>
      </c>
      <c r="J44" s="3">
        <f t="shared" si="4"/>
        <v>14</v>
      </c>
      <c r="K44" s="6">
        <v>46082</v>
      </c>
      <c r="L44" s="6">
        <v>46082</v>
      </c>
      <c r="M44" s="7">
        <f t="shared" ca="1" si="5"/>
        <v>0</v>
      </c>
      <c r="N44" s="7">
        <f t="shared" ca="1" si="2"/>
        <v>0</v>
      </c>
      <c r="O44" s="7" t="str">
        <f t="shared" ca="1" si="3"/>
        <v>Low</v>
      </c>
      <c r="P44" s="23" t="s">
        <v>43</v>
      </c>
    </row>
    <row r="45" spans="1:16" x14ac:dyDescent="0.35">
      <c r="A45" s="14" t="s">
        <v>74</v>
      </c>
      <c r="B45" s="3" t="s">
        <v>75</v>
      </c>
      <c r="C45" s="3" t="s">
        <v>76</v>
      </c>
      <c r="D45" s="3" t="s">
        <v>77</v>
      </c>
      <c r="E45" s="3" t="s">
        <v>36</v>
      </c>
      <c r="F45" s="3" t="s">
        <v>37</v>
      </c>
      <c r="G45" s="3" t="s">
        <v>38</v>
      </c>
      <c r="H45" s="4" t="s">
        <v>39</v>
      </c>
      <c r="I45" s="5">
        <v>8</v>
      </c>
      <c r="J45" s="3">
        <f t="shared" si="4"/>
        <v>8</v>
      </c>
      <c r="K45" s="6">
        <v>45954</v>
      </c>
      <c r="L45" s="6">
        <v>45954</v>
      </c>
      <c r="M45" s="7">
        <f t="shared" ca="1" si="5"/>
        <v>0</v>
      </c>
      <c r="N45" s="7">
        <f t="shared" ca="1" si="2"/>
        <v>0</v>
      </c>
      <c r="O45" s="7" t="str">
        <f t="shared" ca="1" si="3"/>
        <v>Low</v>
      </c>
      <c r="P45" s="23" t="s">
        <v>40</v>
      </c>
    </row>
    <row r="46" spans="1:16" x14ac:dyDescent="0.35">
      <c r="A46" s="14" t="s">
        <v>74</v>
      </c>
      <c r="B46" s="3" t="s">
        <v>75</v>
      </c>
      <c r="C46" s="3" t="s">
        <v>76</v>
      </c>
      <c r="D46" s="3" t="s">
        <v>77</v>
      </c>
      <c r="E46" s="3" t="s">
        <v>41</v>
      </c>
      <c r="F46" s="3" t="s">
        <v>37</v>
      </c>
      <c r="G46" s="3" t="s">
        <v>42</v>
      </c>
      <c r="H46" s="4" t="s">
        <v>39</v>
      </c>
      <c r="I46" s="5">
        <v>10</v>
      </c>
      <c r="J46" s="3">
        <f t="shared" si="4"/>
        <v>10</v>
      </c>
      <c r="K46" s="6">
        <v>45994</v>
      </c>
      <c r="L46" s="6">
        <v>45994</v>
      </c>
      <c r="M46" s="7">
        <f t="shared" ca="1" si="5"/>
        <v>0</v>
      </c>
      <c r="N46" s="7">
        <f t="shared" ca="1" si="2"/>
        <v>0</v>
      </c>
      <c r="O46" s="7" t="str">
        <f t="shared" ca="1" si="3"/>
        <v>Low</v>
      </c>
      <c r="P46" s="23" t="s">
        <v>43</v>
      </c>
    </row>
    <row r="47" spans="1:16" x14ac:dyDescent="0.35">
      <c r="A47" s="14" t="s">
        <v>74</v>
      </c>
      <c r="B47" s="3" t="s">
        <v>75</v>
      </c>
      <c r="C47" s="3" t="s">
        <v>76</v>
      </c>
      <c r="D47" s="3" t="s">
        <v>77</v>
      </c>
      <c r="E47" s="3" t="s">
        <v>44</v>
      </c>
      <c r="F47" s="3" t="s">
        <v>37</v>
      </c>
      <c r="G47" s="3" t="s">
        <v>45</v>
      </c>
      <c r="H47" s="4" t="s">
        <v>39</v>
      </c>
      <c r="I47" s="5">
        <v>12</v>
      </c>
      <c r="J47" s="3">
        <f t="shared" si="4"/>
        <v>12</v>
      </c>
      <c r="K47" s="6">
        <v>46034</v>
      </c>
      <c r="L47" s="6">
        <v>46037</v>
      </c>
      <c r="M47" s="7">
        <f t="shared" ca="1" si="5"/>
        <v>3</v>
      </c>
      <c r="N47" s="7">
        <f t="shared" ca="1" si="2"/>
        <v>36</v>
      </c>
      <c r="O47" s="7" t="str">
        <f t="shared" ca="1" si="3"/>
        <v>Low</v>
      </c>
      <c r="P47" s="23" t="s">
        <v>43</v>
      </c>
    </row>
    <row r="48" spans="1:16" x14ac:dyDescent="0.35">
      <c r="A48" s="14" t="s">
        <v>74</v>
      </c>
      <c r="B48" s="3" t="s">
        <v>75</v>
      </c>
      <c r="C48" s="3" t="s">
        <v>76</v>
      </c>
      <c r="D48" s="3" t="s">
        <v>77</v>
      </c>
      <c r="E48" s="3" t="s">
        <v>46</v>
      </c>
      <c r="F48" s="3" t="s">
        <v>37</v>
      </c>
      <c r="G48" s="3" t="s">
        <v>47</v>
      </c>
      <c r="H48" s="4" t="s">
        <v>56</v>
      </c>
      <c r="I48" s="5">
        <v>6</v>
      </c>
      <c r="J48" s="3">
        <f t="shared" si="4"/>
        <v>0</v>
      </c>
      <c r="K48" s="6">
        <v>46074</v>
      </c>
      <c r="L48" s="6"/>
      <c r="M48" s="7">
        <f t="shared" ca="1" si="5"/>
        <v>66</v>
      </c>
      <c r="N48" s="7">
        <f t="shared" ca="1" si="2"/>
        <v>396</v>
      </c>
      <c r="O48" s="7" t="str">
        <f t="shared" ca="1" si="3"/>
        <v>High</v>
      </c>
      <c r="P48" s="23" t="s">
        <v>40</v>
      </c>
    </row>
    <row r="49" spans="1:16" x14ac:dyDescent="0.35">
      <c r="A49" s="14" t="s">
        <v>74</v>
      </c>
      <c r="B49" s="3" t="s">
        <v>75</v>
      </c>
      <c r="C49" s="3" t="s">
        <v>76</v>
      </c>
      <c r="D49" s="3" t="s">
        <v>77</v>
      </c>
      <c r="E49" s="3" t="s">
        <v>48</v>
      </c>
      <c r="F49" s="3" t="s">
        <v>49</v>
      </c>
      <c r="G49" s="3" t="s">
        <v>50</v>
      </c>
      <c r="H49" s="4" t="s">
        <v>56</v>
      </c>
      <c r="I49" s="5">
        <v>8</v>
      </c>
      <c r="J49" s="3">
        <f t="shared" si="4"/>
        <v>0</v>
      </c>
      <c r="K49" s="6">
        <v>46114</v>
      </c>
      <c r="L49" s="6"/>
      <c r="M49" s="7">
        <f t="shared" ca="1" si="5"/>
        <v>26</v>
      </c>
      <c r="N49" s="7">
        <f t="shared" ca="1" si="2"/>
        <v>208</v>
      </c>
      <c r="O49" s="7" t="str">
        <f t="shared" ca="1" si="3"/>
        <v>High</v>
      </c>
      <c r="P49" s="23" t="s">
        <v>40</v>
      </c>
    </row>
    <row r="50" spans="1:16" x14ac:dyDescent="0.35">
      <c r="A50" s="14" t="s">
        <v>74</v>
      </c>
      <c r="B50" s="3" t="s">
        <v>75</v>
      </c>
      <c r="C50" s="3" t="s">
        <v>76</v>
      </c>
      <c r="D50" s="3" t="s">
        <v>77</v>
      </c>
      <c r="E50" s="3" t="s">
        <v>51</v>
      </c>
      <c r="F50" s="3" t="s">
        <v>49</v>
      </c>
      <c r="G50" s="3" t="s">
        <v>52</v>
      </c>
      <c r="H50" s="4" t="s">
        <v>56</v>
      </c>
      <c r="I50" s="5">
        <v>10</v>
      </c>
      <c r="J50" s="3">
        <f t="shared" si="4"/>
        <v>0</v>
      </c>
      <c r="K50" s="6">
        <v>46164</v>
      </c>
      <c r="L50" s="6"/>
      <c r="M50" s="7">
        <f t="shared" ca="1" si="5"/>
        <v>0</v>
      </c>
      <c r="N50" s="7">
        <f t="shared" ca="1" si="2"/>
        <v>0</v>
      </c>
      <c r="O50" s="7" t="str">
        <f t="shared" ca="1" si="3"/>
        <v>Low</v>
      </c>
      <c r="P50" s="23" t="s">
        <v>43</v>
      </c>
    </row>
    <row r="51" spans="1:16" x14ac:dyDescent="0.35">
      <c r="A51" s="14" t="s">
        <v>74</v>
      </c>
      <c r="B51" s="3" t="s">
        <v>75</v>
      </c>
      <c r="C51" s="3" t="s">
        <v>76</v>
      </c>
      <c r="D51" s="3" t="s">
        <v>77</v>
      </c>
      <c r="E51" s="3" t="s">
        <v>53</v>
      </c>
      <c r="F51" s="3" t="s">
        <v>49</v>
      </c>
      <c r="G51" s="3" t="s">
        <v>54</v>
      </c>
      <c r="H51" s="4" t="s">
        <v>56</v>
      </c>
      <c r="I51" s="5">
        <v>10</v>
      </c>
      <c r="J51" s="3">
        <f t="shared" si="4"/>
        <v>0</v>
      </c>
      <c r="K51" s="6">
        <v>46184</v>
      </c>
      <c r="L51" s="6"/>
      <c r="M51" s="7">
        <f t="shared" ca="1" si="5"/>
        <v>0</v>
      </c>
      <c r="N51" s="7">
        <f t="shared" ca="1" si="2"/>
        <v>0</v>
      </c>
      <c r="O51" s="7" t="str">
        <f t="shared" ca="1" si="3"/>
        <v>Low</v>
      </c>
      <c r="P51" s="23" t="s">
        <v>43</v>
      </c>
    </row>
    <row r="52" spans="1:16" x14ac:dyDescent="0.35">
      <c r="A52" s="14" t="s">
        <v>74</v>
      </c>
      <c r="B52" s="3" t="s">
        <v>75</v>
      </c>
      <c r="C52" s="3" t="s">
        <v>76</v>
      </c>
      <c r="D52" s="3" t="s">
        <v>77</v>
      </c>
      <c r="E52" s="3" t="s">
        <v>55</v>
      </c>
      <c r="F52" s="3" t="s">
        <v>49</v>
      </c>
      <c r="G52" s="3" t="s">
        <v>54</v>
      </c>
      <c r="H52" s="4" t="s">
        <v>56</v>
      </c>
      <c r="I52" s="5">
        <v>12</v>
      </c>
      <c r="J52" s="3">
        <f t="shared" si="4"/>
        <v>0</v>
      </c>
      <c r="K52" s="6">
        <v>46224</v>
      </c>
      <c r="L52" s="6"/>
      <c r="M52" s="7">
        <f t="shared" ca="1" si="5"/>
        <v>0</v>
      </c>
      <c r="N52" s="7">
        <f t="shared" ca="1" si="2"/>
        <v>0</v>
      </c>
      <c r="O52" s="7" t="str">
        <f t="shared" ca="1" si="3"/>
        <v>Low</v>
      </c>
      <c r="P52" s="23" t="s">
        <v>43</v>
      </c>
    </row>
    <row r="53" spans="1:16" x14ac:dyDescent="0.35">
      <c r="A53" s="14" t="s">
        <v>74</v>
      </c>
      <c r="B53" s="3" t="s">
        <v>75</v>
      </c>
      <c r="C53" s="3" t="s">
        <v>76</v>
      </c>
      <c r="D53" s="3" t="s">
        <v>77</v>
      </c>
      <c r="E53" s="3" t="s">
        <v>57</v>
      </c>
      <c r="F53" s="3" t="s">
        <v>58</v>
      </c>
      <c r="G53" s="3" t="s">
        <v>59</v>
      </c>
      <c r="H53" s="4" t="s">
        <v>56</v>
      </c>
      <c r="I53" s="5">
        <v>10</v>
      </c>
      <c r="J53" s="3">
        <f t="shared" si="4"/>
        <v>0</v>
      </c>
      <c r="K53" s="6">
        <v>46244</v>
      </c>
      <c r="L53" s="6"/>
      <c r="M53" s="7">
        <f t="shared" ca="1" si="5"/>
        <v>0</v>
      </c>
      <c r="N53" s="7">
        <f t="shared" ca="1" si="2"/>
        <v>0</v>
      </c>
      <c r="O53" s="7" t="str">
        <f t="shared" ca="1" si="3"/>
        <v>Low</v>
      </c>
      <c r="P53" s="23" t="s">
        <v>43</v>
      </c>
    </row>
    <row r="54" spans="1:16" x14ac:dyDescent="0.35">
      <c r="A54" s="14" t="s">
        <v>74</v>
      </c>
      <c r="B54" s="3" t="s">
        <v>75</v>
      </c>
      <c r="C54" s="3" t="s">
        <v>76</v>
      </c>
      <c r="D54" s="3" t="s">
        <v>77</v>
      </c>
      <c r="E54" s="3" t="s">
        <v>60</v>
      </c>
      <c r="F54" s="3" t="s">
        <v>58</v>
      </c>
      <c r="G54" s="3" t="s">
        <v>61</v>
      </c>
      <c r="H54" s="4" t="s">
        <v>56</v>
      </c>
      <c r="I54" s="5">
        <v>14</v>
      </c>
      <c r="J54" s="3">
        <f t="shared" si="4"/>
        <v>0</v>
      </c>
      <c r="K54" s="6">
        <v>46254</v>
      </c>
      <c r="L54" s="6"/>
      <c r="M54" s="7">
        <f t="shared" ca="1" si="5"/>
        <v>0</v>
      </c>
      <c r="N54" s="7">
        <f t="shared" ca="1" si="2"/>
        <v>0</v>
      </c>
      <c r="O54" s="7" t="str">
        <f t="shared" ca="1" si="3"/>
        <v>Low</v>
      </c>
      <c r="P54" s="23" t="s">
        <v>43</v>
      </c>
    </row>
    <row r="55" spans="1:16" x14ac:dyDescent="0.35">
      <c r="A55" s="13" t="s">
        <v>78</v>
      </c>
      <c r="B55" s="3" t="s">
        <v>79</v>
      </c>
      <c r="C55" s="3" t="s">
        <v>80</v>
      </c>
      <c r="D55" s="3" t="s">
        <v>81</v>
      </c>
      <c r="E55" s="3" t="s">
        <v>36</v>
      </c>
      <c r="F55" s="3" t="s">
        <v>37</v>
      </c>
      <c r="G55" s="3" t="s">
        <v>38</v>
      </c>
      <c r="H55" s="4" t="s">
        <v>39</v>
      </c>
      <c r="I55" s="5">
        <v>8</v>
      </c>
      <c r="J55" s="3">
        <f t="shared" si="4"/>
        <v>8</v>
      </c>
      <c r="K55" s="6">
        <v>46031</v>
      </c>
      <c r="L55" s="6">
        <v>46031</v>
      </c>
      <c r="M55" s="7">
        <f t="shared" ca="1" si="5"/>
        <v>0</v>
      </c>
      <c r="N55" s="7">
        <f t="shared" ca="1" si="2"/>
        <v>0</v>
      </c>
      <c r="O55" s="7" t="str">
        <f t="shared" ca="1" si="3"/>
        <v>Low</v>
      </c>
      <c r="P55" s="23" t="s">
        <v>40</v>
      </c>
    </row>
    <row r="56" spans="1:16" x14ac:dyDescent="0.35">
      <c r="A56" s="13" t="s">
        <v>78</v>
      </c>
      <c r="B56" s="3" t="s">
        <v>79</v>
      </c>
      <c r="C56" s="3" t="s">
        <v>80</v>
      </c>
      <c r="D56" s="3" t="s">
        <v>81</v>
      </c>
      <c r="E56" s="3" t="s">
        <v>41</v>
      </c>
      <c r="F56" s="3" t="s">
        <v>37</v>
      </c>
      <c r="G56" s="3" t="s">
        <v>42</v>
      </c>
      <c r="H56" s="4" t="s">
        <v>39</v>
      </c>
      <c r="I56" s="5">
        <v>10</v>
      </c>
      <c r="J56" s="3">
        <f t="shared" si="4"/>
        <v>10</v>
      </c>
      <c r="K56" s="6">
        <v>46071</v>
      </c>
      <c r="L56" s="6">
        <v>46071</v>
      </c>
      <c r="M56" s="7">
        <f t="shared" ca="1" si="5"/>
        <v>0</v>
      </c>
      <c r="N56" s="7">
        <f t="shared" ca="1" si="2"/>
        <v>0</v>
      </c>
      <c r="O56" s="7" t="str">
        <f t="shared" ca="1" si="3"/>
        <v>Low</v>
      </c>
      <c r="P56" s="23" t="s">
        <v>43</v>
      </c>
    </row>
    <row r="57" spans="1:16" x14ac:dyDescent="0.35">
      <c r="A57" s="13" t="s">
        <v>78</v>
      </c>
      <c r="B57" s="3" t="s">
        <v>79</v>
      </c>
      <c r="C57" s="3" t="s">
        <v>80</v>
      </c>
      <c r="D57" s="3" t="s">
        <v>81</v>
      </c>
      <c r="E57" s="3" t="s">
        <v>44</v>
      </c>
      <c r="F57" s="3" t="s">
        <v>37</v>
      </c>
      <c r="G57" s="3" t="s">
        <v>45</v>
      </c>
      <c r="H57" s="4" t="s">
        <v>39</v>
      </c>
      <c r="I57" s="5">
        <v>12</v>
      </c>
      <c r="J57" s="3">
        <f t="shared" si="4"/>
        <v>12</v>
      </c>
      <c r="K57" s="6">
        <v>46111</v>
      </c>
      <c r="L57" s="6">
        <v>46112</v>
      </c>
      <c r="M57" s="7">
        <f t="shared" ca="1" si="5"/>
        <v>1</v>
      </c>
      <c r="N57" s="7">
        <f t="shared" ca="1" si="2"/>
        <v>12</v>
      </c>
      <c r="O57" s="7" t="str">
        <f t="shared" ca="1" si="3"/>
        <v>Low</v>
      </c>
      <c r="P57" s="23" t="s">
        <v>43</v>
      </c>
    </row>
    <row r="58" spans="1:16" x14ac:dyDescent="0.35">
      <c r="A58" s="13" t="s">
        <v>78</v>
      </c>
      <c r="B58" s="3" t="s">
        <v>79</v>
      </c>
      <c r="C58" s="3" t="s">
        <v>80</v>
      </c>
      <c r="D58" s="3" t="s">
        <v>81</v>
      </c>
      <c r="E58" s="3" t="s">
        <v>46</v>
      </c>
      <c r="F58" s="3" t="s">
        <v>37</v>
      </c>
      <c r="G58" s="3" t="s">
        <v>47</v>
      </c>
      <c r="H58" s="4" t="s">
        <v>39</v>
      </c>
      <c r="I58" s="5">
        <v>6</v>
      </c>
      <c r="J58" s="3">
        <f t="shared" si="4"/>
        <v>6</v>
      </c>
      <c r="K58" s="6">
        <v>46151</v>
      </c>
      <c r="L58" s="6">
        <v>46152</v>
      </c>
      <c r="M58" s="7">
        <f t="shared" ca="1" si="5"/>
        <v>1</v>
      </c>
      <c r="N58" s="7">
        <f t="shared" ca="1" si="2"/>
        <v>6</v>
      </c>
      <c r="O58" s="7" t="str">
        <f t="shared" ca="1" si="3"/>
        <v>Low</v>
      </c>
      <c r="P58" s="23" t="s">
        <v>40</v>
      </c>
    </row>
    <row r="59" spans="1:16" x14ac:dyDescent="0.35">
      <c r="A59" s="13" t="s">
        <v>78</v>
      </c>
      <c r="B59" s="3" t="s">
        <v>79</v>
      </c>
      <c r="C59" s="3" t="s">
        <v>80</v>
      </c>
      <c r="D59" s="3" t="s">
        <v>81</v>
      </c>
      <c r="E59" s="3" t="s">
        <v>48</v>
      </c>
      <c r="F59" s="3" t="s">
        <v>49</v>
      </c>
      <c r="G59" s="3" t="s">
        <v>50</v>
      </c>
      <c r="H59" s="4" t="s">
        <v>39</v>
      </c>
      <c r="I59" s="5">
        <v>8</v>
      </c>
      <c r="J59" s="3">
        <f t="shared" si="4"/>
        <v>8</v>
      </c>
      <c r="K59" s="6">
        <v>46191</v>
      </c>
      <c r="L59" s="6">
        <v>46193</v>
      </c>
      <c r="M59" s="7">
        <f t="shared" ca="1" si="5"/>
        <v>2</v>
      </c>
      <c r="N59" s="7">
        <f t="shared" ca="1" si="2"/>
        <v>16</v>
      </c>
      <c r="O59" s="7" t="str">
        <f t="shared" ca="1" si="3"/>
        <v>Low</v>
      </c>
      <c r="P59" s="23" t="s">
        <v>40</v>
      </c>
    </row>
    <row r="60" spans="1:16" x14ac:dyDescent="0.35">
      <c r="A60" s="13" t="s">
        <v>78</v>
      </c>
      <c r="B60" s="3" t="s">
        <v>79</v>
      </c>
      <c r="C60" s="3" t="s">
        <v>80</v>
      </c>
      <c r="D60" s="3" t="s">
        <v>81</v>
      </c>
      <c r="E60" s="3" t="s">
        <v>51</v>
      </c>
      <c r="F60" s="3" t="s">
        <v>49</v>
      </c>
      <c r="G60" s="3" t="s">
        <v>52</v>
      </c>
      <c r="H60" s="4" t="s">
        <v>56</v>
      </c>
      <c r="I60" s="5">
        <v>10</v>
      </c>
      <c r="J60" s="3">
        <f t="shared" si="4"/>
        <v>0</v>
      </c>
      <c r="K60" s="6">
        <v>46241</v>
      </c>
      <c r="L60" s="6"/>
      <c r="M60" s="7">
        <f t="shared" ca="1" si="5"/>
        <v>0</v>
      </c>
      <c r="N60" s="7">
        <f t="shared" ca="1" si="2"/>
        <v>0</v>
      </c>
      <c r="O60" s="7" t="str">
        <f t="shared" ca="1" si="3"/>
        <v>Low</v>
      </c>
      <c r="P60" s="23" t="s">
        <v>43</v>
      </c>
    </row>
    <row r="61" spans="1:16" x14ac:dyDescent="0.35">
      <c r="A61" s="13" t="s">
        <v>78</v>
      </c>
      <c r="B61" s="3" t="s">
        <v>79</v>
      </c>
      <c r="C61" s="3" t="s">
        <v>80</v>
      </c>
      <c r="D61" s="3" t="s">
        <v>81</v>
      </c>
      <c r="E61" s="3" t="s">
        <v>53</v>
      </c>
      <c r="F61" s="3" t="s">
        <v>49</v>
      </c>
      <c r="G61" s="3" t="s">
        <v>54</v>
      </c>
      <c r="H61" s="4" t="s">
        <v>56</v>
      </c>
      <c r="I61" s="5">
        <v>10</v>
      </c>
      <c r="J61" s="3">
        <f t="shared" si="4"/>
        <v>0</v>
      </c>
      <c r="K61" s="6">
        <v>46261</v>
      </c>
      <c r="L61" s="6"/>
      <c r="M61" s="7">
        <f t="shared" ca="1" si="5"/>
        <v>0</v>
      </c>
      <c r="N61" s="7">
        <f t="shared" ca="1" si="2"/>
        <v>0</v>
      </c>
      <c r="O61" s="7" t="str">
        <f t="shared" ca="1" si="3"/>
        <v>Low</v>
      </c>
      <c r="P61" s="23" t="s">
        <v>43</v>
      </c>
    </row>
    <row r="62" spans="1:16" x14ac:dyDescent="0.35">
      <c r="A62" s="13" t="s">
        <v>78</v>
      </c>
      <c r="B62" s="3" t="s">
        <v>79</v>
      </c>
      <c r="C62" s="3" t="s">
        <v>80</v>
      </c>
      <c r="D62" s="3" t="s">
        <v>81</v>
      </c>
      <c r="E62" s="3" t="s">
        <v>55</v>
      </c>
      <c r="F62" s="3" t="s">
        <v>49</v>
      </c>
      <c r="G62" s="3" t="s">
        <v>54</v>
      </c>
      <c r="H62" s="4" t="s">
        <v>56</v>
      </c>
      <c r="I62" s="5">
        <v>12</v>
      </c>
      <c r="J62" s="3">
        <f t="shared" si="4"/>
        <v>0</v>
      </c>
      <c r="K62" s="6">
        <v>46301</v>
      </c>
      <c r="L62" s="6"/>
      <c r="M62" s="7">
        <f t="shared" ca="1" si="5"/>
        <v>0</v>
      </c>
      <c r="N62" s="7">
        <f t="shared" ca="1" si="2"/>
        <v>0</v>
      </c>
      <c r="O62" s="7" t="str">
        <f t="shared" ca="1" si="3"/>
        <v>Low</v>
      </c>
      <c r="P62" s="23" t="s">
        <v>43</v>
      </c>
    </row>
    <row r="63" spans="1:16" x14ac:dyDescent="0.35">
      <c r="A63" s="13" t="s">
        <v>78</v>
      </c>
      <c r="B63" s="3" t="s">
        <v>79</v>
      </c>
      <c r="C63" s="3" t="s">
        <v>80</v>
      </c>
      <c r="D63" s="3" t="s">
        <v>81</v>
      </c>
      <c r="E63" s="3" t="s">
        <v>57</v>
      </c>
      <c r="F63" s="3" t="s">
        <v>58</v>
      </c>
      <c r="G63" s="3" t="s">
        <v>59</v>
      </c>
      <c r="H63" s="4" t="s">
        <v>56</v>
      </c>
      <c r="I63" s="5">
        <v>10</v>
      </c>
      <c r="J63" s="3">
        <f t="shared" si="4"/>
        <v>0</v>
      </c>
      <c r="K63" s="6">
        <v>46321</v>
      </c>
      <c r="L63" s="6"/>
      <c r="M63" s="7">
        <f t="shared" ca="1" si="5"/>
        <v>0</v>
      </c>
      <c r="N63" s="7">
        <f t="shared" ca="1" si="2"/>
        <v>0</v>
      </c>
      <c r="O63" s="7" t="str">
        <f t="shared" ca="1" si="3"/>
        <v>Low</v>
      </c>
      <c r="P63" s="23" t="s">
        <v>43</v>
      </c>
    </row>
    <row r="64" spans="1:16" x14ac:dyDescent="0.35">
      <c r="A64" s="13" t="s">
        <v>78</v>
      </c>
      <c r="B64" s="3" t="s">
        <v>79</v>
      </c>
      <c r="C64" s="3" t="s">
        <v>80</v>
      </c>
      <c r="D64" s="3" t="s">
        <v>81</v>
      </c>
      <c r="E64" s="3" t="s">
        <v>60</v>
      </c>
      <c r="F64" s="3" t="s">
        <v>58</v>
      </c>
      <c r="G64" s="3" t="s">
        <v>61</v>
      </c>
      <c r="H64" s="4" t="s">
        <v>56</v>
      </c>
      <c r="I64" s="5">
        <v>14</v>
      </c>
      <c r="J64" s="3">
        <f t="shared" si="4"/>
        <v>0</v>
      </c>
      <c r="K64" s="6">
        <v>46331</v>
      </c>
      <c r="L64" s="6"/>
      <c r="M64" s="7">
        <f t="shared" ca="1" si="5"/>
        <v>0</v>
      </c>
      <c r="N64" s="7">
        <f t="shared" ca="1" si="2"/>
        <v>0</v>
      </c>
      <c r="O64" s="7" t="str">
        <f t="shared" ca="1" si="3"/>
        <v>Low</v>
      </c>
      <c r="P64" s="23" t="s">
        <v>43</v>
      </c>
    </row>
    <row r="65" spans="1:16" x14ac:dyDescent="0.35">
      <c r="A65" s="15" t="s">
        <v>82</v>
      </c>
      <c r="B65" s="3" t="s">
        <v>83</v>
      </c>
      <c r="C65" s="3" t="s">
        <v>34</v>
      </c>
      <c r="D65" s="3" t="s">
        <v>84</v>
      </c>
      <c r="E65" s="3" t="s">
        <v>36</v>
      </c>
      <c r="F65" s="3" t="s">
        <v>37</v>
      </c>
      <c r="G65" s="3" t="s">
        <v>38</v>
      </c>
      <c r="H65" s="4" t="s">
        <v>39</v>
      </c>
      <c r="I65" s="5">
        <v>8</v>
      </c>
      <c r="J65" s="3">
        <f t="shared" si="4"/>
        <v>8</v>
      </c>
      <c r="K65" s="6">
        <v>46071</v>
      </c>
      <c r="L65" s="6">
        <v>46071</v>
      </c>
      <c r="M65" s="7">
        <f t="shared" ca="1" si="5"/>
        <v>0</v>
      </c>
      <c r="N65" s="7">
        <f t="shared" ca="1" si="2"/>
        <v>0</v>
      </c>
      <c r="O65" s="7" t="str">
        <f t="shared" ca="1" si="3"/>
        <v>Low</v>
      </c>
      <c r="P65" s="23" t="s">
        <v>40</v>
      </c>
    </row>
    <row r="66" spans="1:16" x14ac:dyDescent="0.35">
      <c r="A66" s="15" t="s">
        <v>82</v>
      </c>
      <c r="B66" s="3" t="s">
        <v>83</v>
      </c>
      <c r="C66" s="3" t="s">
        <v>34</v>
      </c>
      <c r="D66" s="3" t="s">
        <v>84</v>
      </c>
      <c r="E66" s="3" t="s">
        <v>41</v>
      </c>
      <c r="F66" s="3" t="s">
        <v>37</v>
      </c>
      <c r="G66" s="3" t="s">
        <v>42</v>
      </c>
      <c r="H66" s="4" t="s">
        <v>39</v>
      </c>
      <c r="I66" s="5">
        <v>10</v>
      </c>
      <c r="J66" s="3">
        <f t="shared" si="4"/>
        <v>10</v>
      </c>
      <c r="K66" s="6">
        <v>46111</v>
      </c>
      <c r="L66" s="6">
        <v>46112</v>
      </c>
      <c r="M66" s="7">
        <f t="shared" ca="1" si="5"/>
        <v>1</v>
      </c>
      <c r="N66" s="7">
        <f t="shared" ca="1" si="2"/>
        <v>10</v>
      </c>
      <c r="O66" s="7" t="str">
        <f t="shared" ca="1" si="3"/>
        <v>Low</v>
      </c>
      <c r="P66" s="23" t="s">
        <v>43</v>
      </c>
    </row>
    <row r="67" spans="1:16" x14ac:dyDescent="0.35">
      <c r="A67" s="15" t="s">
        <v>82</v>
      </c>
      <c r="B67" s="3" t="s">
        <v>83</v>
      </c>
      <c r="C67" s="3" t="s">
        <v>34</v>
      </c>
      <c r="D67" s="3" t="s">
        <v>84</v>
      </c>
      <c r="E67" s="3" t="s">
        <v>44</v>
      </c>
      <c r="F67" s="3" t="s">
        <v>37</v>
      </c>
      <c r="G67" s="3" t="s">
        <v>45</v>
      </c>
      <c r="H67" s="4" t="s">
        <v>39</v>
      </c>
      <c r="I67" s="5">
        <v>12</v>
      </c>
      <c r="J67" s="3">
        <f t="shared" si="4"/>
        <v>12</v>
      </c>
      <c r="K67" s="6">
        <v>46151</v>
      </c>
      <c r="L67" s="6">
        <v>46153</v>
      </c>
      <c r="M67" s="7">
        <f t="shared" ca="1" si="5"/>
        <v>2</v>
      </c>
      <c r="N67" s="7">
        <f t="shared" ca="1" si="2"/>
        <v>24</v>
      </c>
      <c r="O67" s="7" t="str">
        <f t="shared" ca="1" si="3"/>
        <v>Low</v>
      </c>
      <c r="P67" s="23" t="s">
        <v>43</v>
      </c>
    </row>
    <row r="68" spans="1:16" x14ac:dyDescent="0.35">
      <c r="A68" s="15" t="s">
        <v>82</v>
      </c>
      <c r="B68" s="3" t="s">
        <v>83</v>
      </c>
      <c r="C68" s="3" t="s">
        <v>34</v>
      </c>
      <c r="D68" s="3" t="s">
        <v>84</v>
      </c>
      <c r="E68" s="3" t="s">
        <v>46</v>
      </c>
      <c r="F68" s="3" t="s">
        <v>37</v>
      </c>
      <c r="G68" s="3" t="s">
        <v>47</v>
      </c>
      <c r="H68" s="4" t="s">
        <v>39</v>
      </c>
      <c r="I68" s="5">
        <v>6</v>
      </c>
      <c r="J68" s="3">
        <f t="shared" si="4"/>
        <v>6</v>
      </c>
      <c r="K68" s="6">
        <v>46191</v>
      </c>
      <c r="L68" s="6">
        <v>46193</v>
      </c>
      <c r="M68" s="7">
        <f t="shared" ca="1" si="5"/>
        <v>2</v>
      </c>
      <c r="N68" s="7">
        <f t="shared" ca="1" si="2"/>
        <v>12</v>
      </c>
      <c r="O68" s="7" t="str">
        <f t="shared" ca="1" si="3"/>
        <v>Low</v>
      </c>
      <c r="P68" s="23" t="s">
        <v>40</v>
      </c>
    </row>
    <row r="69" spans="1:16" x14ac:dyDescent="0.35">
      <c r="A69" s="15" t="s">
        <v>82</v>
      </c>
      <c r="B69" s="3" t="s">
        <v>83</v>
      </c>
      <c r="C69" s="3" t="s">
        <v>34</v>
      </c>
      <c r="D69" s="3" t="s">
        <v>84</v>
      </c>
      <c r="E69" s="3" t="s">
        <v>48</v>
      </c>
      <c r="F69" s="3" t="s">
        <v>49</v>
      </c>
      <c r="G69" s="3" t="s">
        <v>50</v>
      </c>
      <c r="H69" s="4" t="s">
        <v>56</v>
      </c>
      <c r="I69" s="5">
        <v>8</v>
      </c>
      <c r="J69" s="3">
        <f t="shared" ref="J69:J84" si="6">IF(H69="☑",I69,0)</f>
        <v>0</v>
      </c>
      <c r="K69" s="6">
        <v>46231</v>
      </c>
      <c r="L69" s="6"/>
      <c r="M69" s="7">
        <f t="shared" ref="M69:M84" ca="1" si="7">IF(H69="☑",MAX(0,L69-K69),MAX(0,TODAY()-K69))</f>
        <v>0</v>
      </c>
      <c r="N69" s="7">
        <f t="shared" ref="N69:N84" ca="1" si="8">M69*I69</f>
        <v>0</v>
      </c>
      <c r="O69" s="7" t="str">
        <f t="shared" ca="1" si="3"/>
        <v>Low</v>
      </c>
      <c r="P69" s="23" t="s">
        <v>40</v>
      </c>
    </row>
    <row r="70" spans="1:16" x14ac:dyDescent="0.35">
      <c r="A70" s="15" t="s">
        <v>82</v>
      </c>
      <c r="B70" s="3" t="s">
        <v>83</v>
      </c>
      <c r="C70" s="3" t="s">
        <v>34</v>
      </c>
      <c r="D70" s="3" t="s">
        <v>84</v>
      </c>
      <c r="E70" s="3" t="s">
        <v>51</v>
      </c>
      <c r="F70" s="3" t="s">
        <v>49</v>
      </c>
      <c r="G70" s="3" t="s">
        <v>52</v>
      </c>
      <c r="H70" s="4" t="s">
        <v>56</v>
      </c>
      <c r="I70" s="5">
        <v>10</v>
      </c>
      <c r="J70" s="3">
        <f t="shared" si="6"/>
        <v>0</v>
      </c>
      <c r="K70" s="6">
        <v>46281</v>
      </c>
      <c r="L70" s="6"/>
      <c r="M70" s="7">
        <f t="shared" ca="1" si="7"/>
        <v>0</v>
      </c>
      <c r="N70" s="7">
        <f t="shared" ca="1" si="8"/>
        <v>0</v>
      </c>
      <c r="O70" s="7" t="str">
        <f t="shared" ref="O70:O84" ca="1" si="9">IF(N70&gt;80,"High",IF(N70&gt;40,"Medium","Low"))</f>
        <v>Low</v>
      </c>
      <c r="P70" s="23" t="s">
        <v>43</v>
      </c>
    </row>
    <row r="71" spans="1:16" x14ac:dyDescent="0.35">
      <c r="A71" s="15" t="s">
        <v>82</v>
      </c>
      <c r="B71" s="3" t="s">
        <v>83</v>
      </c>
      <c r="C71" s="3" t="s">
        <v>34</v>
      </c>
      <c r="D71" s="3" t="s">
        <v>84</v>
      </c>
      <c r="E71" s="3" t="s">
        <v>53</v>
      </c>
      <c r="F71" s="3" t="s">
        <v>49</v>
      </c>
      <c r="G71" s="3" t="s">
        <v>54</v>
      </c>
      <c r="H71" s="4" t="s">
        <v>56</v>
      </c>
      <c r="I71" s="5">
        <v>10</v>
      </c>
      <c r="J71" s="3">
        <f t="shared" si="6"/>
        <v>0</v>
      </c>
      <c r="K71" s="6">
        <v>46301</v>
      </c>
      <c r="L71" s="6"/>
      <c r="M71" s="7">
        <f t="shared" ca="1" si="7"/>
        <v>0</v>
      </c>
      <c r="N71" s="7">
        <f t="shared" ca="1" si="8"/>
        <v>0</v>
      </c>
      <c r="O71" s="7" t="str">
        <f t="shared" ca="1" si="9"/>
        <v>Low</v>
      </c>
      <c r="P71" s="23" t="s">
        <v>43</v>
      </c>
    </row>
    <row r="72" spans="1:16" x14ac:dyDescent="0.35">
      <c r="A72" s="15" t="s">
        <v>82</v>
      </c>
      <c r="B72" s="3" t="s">
        <v>83</v>
      </c>
      <c r="C72" s="3" t="s">
        <v>34</v>
      </c>
      <c r="D72" s="3" t="s">
        <v>84</v>
      </c>
      <c r="E72" s="3" t="s">
        <v>55</v>
      </c>
      <c r="F72" s="3" t="s">
        <v>49</v>
      </c>
      <c r="G72" s="3" t="s">
        <v>54</v>
      </c>
      <c r="H72" s="4" t="s">
        <v>56</v>
      </c>
      <c r="I72" s="5">
        <v>12</v>
      </c>
      <c r="J72" s="3">
        <f t="shared" si="6"/>
        <v>0</v>
      </c>
      <c r="K72" s="6">
        <v>46341</v>
      </c>
      <c r="L72" s="6"/>
      <c r="M72" s="7">
        <f t="shared" ca="1" si="7"/>
        <v>0</v>
      </c>
      <c r="N72" s="7">
        <f t="shared" ca="1" si="8"/>
        <v>0</v>
      </c>
      <c r="O72" s="7" t="str">
        <f t="shared" ca="1" si="9"/>
        <v>Low</v>
      </c>
      <c r="P72" s="23" t="s">
        <v>43</v>
      </c>
    </row>
    <row r="73" spans="1:16" x14ac:dyDescent="0.35">
      <c r="A73" s="15" t="s">
        <v>82</v>
      </c>
      <c r="B73" s="3" t="s">
        <v>83</v>
      </c>
      <c r="C73" s="3" t="s">
        <v>34</v>
      </c>
      <c r="D73" s="3" t="s">
        <v>84</v>
      </c>
      <c r="E73" s="3" t="s">
        <v>57</v>
      </c>
      <c r="F73" s="3" t="s">
        <v>58</v>
      </c>
      <c r="G73" s="3" t="s">
        <v>59</v>
      </c>
      <c r="H73" s="4" t="s">
        <v>56</v>
      </c>
      <c r="I73" s="5">
        <v>10</v>
      </c>
      <c r="J73" s="3">
        <f t="shared" si="6"/>
        <v>0</v>
      </c>
      <c r="K73" s="6">
        <v>46361</v>
      </c>
      <c r="L73" s="6"/>
      <c r="M73" s="7">
        <f t="shared" ca="1" si="7"/>
        <v>0</v>
      </c>
      <c r="N73" s="7">
        <f t="shared" ca="1" si="8"/>
        <v>0</v>
      </c>
      <c r="O73" s="7" t="str">
        <f t="shared" ca="1" si="9"/>
        <v>Low</v>
      </c>
      <c r="P73" s="23" t="s">
        <v>43</v>
      </c>
    </row>
    <row r="74" spans="1:16" x14ac:dyDescent="0.35">
      <c r="A74" s="15" t="s">
        <v>82</v>
      </c>
      <c r="B74" s="3" t="s">
        <v>83</v>
      </c>
      <c r="C74" s="3" t="s">
        <v>34</v>
      </c>
      <c r="D74" s="3" t="s">
        <v>84</v>
      </c>
      <c r="E74" s="3" t="s">
        <v>60</v>
      </c>
      <c r="F74" s="3" t="s">
        <v>58</v>
      </c>
      <c r="G74" s="3" t="s">
        <v>61</v>
      </c>
      <c r="H74" s="4" t="s">
        <v>56</v>
      </c>
      <c r="I74" s="5">
        <v>14</v>
      </c>
      <c r="J74" s="3">
        <f t="shared" si="6"/>
        <v>0</v>
      </c>
      <c r="K74" s="6">
        <v>46371</v>
      </c>
      <c r="L74" s="6"/>
      <c r="M74" s="7">
        <f t="shared" ca="1" si="7"/>
        <v>0</v>
      </c>
      <c r="N74" s="7">
        <f t="shared" ca="1" si="8"/>
        <v>0</v>
      </c>
      <c r="O74" s="7" t="str">
        <f t="shared" ca="1" si="9"/>
        <v>Low</v>
      </c>
      <c r="P74" s="23" t="s">
        <v>43</v>
      </c>
    </row>
    <row r="75" spans="1:16" x14ac:dyDescent="0.35">
      <c r="A75" s="17" t="s">
        <v>85</v>
      </c>
      <c r="B75" s="3" t="s">
        <v>86</v>
      </c>
      <c r="C75" s="3" t="s">
        <v>64</v>
      </c>
      <c r="D75" s="3" t="s">
        <v>87</v>
      </c>
      <c r="E75" s="3" t="s">
        <v>36</v>
      </c>
      <c r="F75" s="3" t="s">
        <v>37</v>
      </c>
      <c r="G75" s="3" t="s">
        <v>38</v>
      </c>
      <c r="H75" s="4" t="s">
        <v>39</v>
      </c>
      <c r="I75" s="5">
        <v>8</v>
      </c>
      <c r="J75" s="3">
        <f t="shared" si="6"/>
        <v>8</v>
      </c>
      <c r="K75" s="6">
        <v>45763</v>
      </c>
      <c r="L75" s="6">
        <v>45763</v>
      </c>
      <c r="M75" s="7">
        <f t="shared" ca="1" si="7"/>
        <v>0</v>
      </c>
      <c r="N75" s="7">
        <f t="shared" ca="1" si="8"/>
        <v>0</v>
      </c>
      <c r="O75" s="7" t="str">
        <f t="shared" ca="1" si="9"/>
        <v>Low</v>
      </c>
      <c r="P75" s="23" t="s">
        <v>40</v>
      </c>
    </row>
    <row r="76" spans="1:16" x14ac:dyDescent="0.35">
      <c r="A76" s="17" t="s">
        <v>85</v>
      </c>
      <c r="B76" s="3" t="s">
        <v>86</v>
      </c>
      <c r="C76" s="3" t="s">
        <v>64</v>
      </c>
      <c r="D76" s="3" t="s">
        <v>87</v>
      </c>
      <c r="E76" s="3" t="s">
        <v>41</v>
      </c>
      <c r="F76" s="3" t="s">
        <v>37</v>
      </c>
      <c r="G76" s="3" t="s">
        <v>42</v>
      </c>
      <c r="H76" s="4" t="s">
        <v>39</v>
      </c>
      <c r="I76" s="5">
        <v>10</v>
      </c>
      <c r="J76" s="3">
        <f t="shared" si="6"/>
        <v>10</v>
      </c>
      <c r="K76" s="6">
        <v>45803</v>
      </c>
      <c r="L76" s="6">
        <v>45803</v>
      </c>
      <c r="M76" s="7">
        <f t="shared" ca="1" si="7"/>
        <v>0</v>
      </c>
      <c r="N76" s="7">
        <f t="shared" ca="1" si="8"/>
        <v>0</v>
      </c>
      <c r="O76" s="7" t="str">
        <f t="shared" ca="1" si="9"/>
        <v>Low</v>
      </c>
      <c r="P76" s="23" t="s">
        <v>43</v>
      </c>
    </row>
    <row r="77" spans="1:16" x14ac:dyDescent="0.35">
      <c r="A77" s="17" t="s">
        <v>85</v>
      </c>
      <c r="B77" s="3" t="s">
        <v>86</v>
      </c>
      <c r="C77" s="3" t="s">
        <v>64</v>
      </c>
      <c r="D77" s="3" t="s">
        <v>87</v>
      </c>
      <c r="E77" s="3" t="s">
        <v>44</v>
      </c>
      <c r="F77" s="3" t="s">
        <v>37</v>
      </c>
      <c r="G77" s="3" t="s">
        <v>45</v>
      </c>
      <c r="H77" s="4" t="s">
        <v>39</v>
      </c>
      <c r="I77" s="5">
        <v>12</v>
      </c>
      <c r="J77" s="3">
        <f t="shared" si="6"/>
        <v>12</v>
      </c>
      <c r="K77" s="6">
        <v>45843</v>
      </c>
      <c r="L77" s="6">
        <v>45843</v>
      </c>
      <c r="M77" s="7">
        <f t="shared" ca="1" si="7"/>
        <v>0</v>
      </c>
      <c r="N77" s="7">
        <f t="shared" ca="1" si="8"/>
        <v>0</v>
      </c>
      <c r="O77" s="7" t="str">
        <f t="shared" ca="1" si="9"/>
        <v>Low</v>
      </c>
      <c r="P77" s="23" t="s">
        <v>43</v>
      </c>
    </row>
    <row r="78" spans="1:16" x14ac:dyDescent="0.35">
      <c r="A78" s="17" t="s">
        <v>85</v>
      </c>
      <c r="B78" s="3" t="s">
        <v>86</v>
      </c>
      <c r="C78" s="3" t="s">
        <v>64</v>
      </c>
      <c r="D78" s="3" t="s">
        <v>87</v>
      </c>
      <c r="E78" s="3" t="s">
        <v>46</v>
      </c>
      <c r="F78" s="3" t="s">
        <v>37</v>
      </c>
      <c r="G78" s="3" t="s">
        <v>47</v>
      </c>
      <c r="H78" s="4" t="s">
        <v>39</v>
      </c>
      <c r="I78" s="5">
        <v>6</v>
      </c>
      <c r="J78" s="3">
        <f t="shared" si="6"/>
        <v>6</v>
      </c>
      <c r="K78" s="6">
        <v>45883</v>
      </c>
      <c r="L78" s="6">
        <v>45883</v>
      </c>
      <c r="M78" s="7">
        <f t="shared" ca="1" si="7"/>
        <v>0</v>
      </c>
      <c r="N78" s="7">
        <f t="shared" ca="1" si="8"/>
        <v>0</v>
      </c>
      <c r="O78" s="7" t="str">
        <f t="shared" ca="1" si="9"/>
        <v>Low</v>
      </c>
      <c r="P78" s="23" t="s">
        <v>40</v>
      </c>
    </row>
    <row r="79" spans="1:16" x14ac:dyDescent="0.35">
      <c r="A79" s="17" t="s">
        <v>85</v>
      </c>
      <c r="B79" s="3" t="s">
        <v>86</v>
      </c>
      <c r="C79" s="3" t="s">
        <v>64</v>
      </c>
      <c r="D79" s="3" t="s">
        <v>87</v>
      </c>
      <c r="E79" s="3" t="s">
        <v>48</v>
      </c>
      <c r="F79" s="3" t="s">
        <v>49</v>
      </c>
      <c r="G79" s="3" t="s">
        <v>50</v>
      </c>
      <c r="H79" s="4" t="s">
        <v>39</v>
      </c>
      <c r="I79" s="5">
        <v>8</v>
      </c>
      <c r="J79" s="3">
        <f t="shared" si="6"/>
        <v>8</v>
      </c>
      <c r="K79" s="6">
        <v>45923</v>
      </c>
      <c r="L79" s="6">
        <v>45923</v>
      </c>
      <c r="M79" s="7">
        <f t="shared" ca="1" si="7"/>
        <v>0</v>
      </c>
      <c r="N79" s="7">
        <f t="shared" ca="1" si="8"/>
        <v>0</v>
      </c>
      <c r="O79" s="7" t="str">
        <f t="shared" ca="1" si="9"/>
        <v>Low</v>
      </c>
      <c r="P79" s="23" t="s">
        <v>40</v>
      </c>
    </row>
    <row r="80" spans="1:16" x14ac:dyDescent="0.35">
      <c r="A80" s="17" t="s">
        <v>85</v>
      </c>
      <c r="B80" s="3" t="s">
        <v>86</v>
      </c>
      <c r="C80" s="3" t="s">
        <v>64</v>
      </c>
      <c r="D80" s="3" t="s">
        <v>87</v>
      </c>
      <c r="E80" s="3" t="s">
        <v>51</v>
      </c>
      <c r="F80" s="3" t="s">
        <v>49</v>
      </c>
      <c r="G80" s="3" t="s">
        <v>52</v>
      </c>
      <c r="H80" s="4" t="s">
        <v>39</v>
      </c>
      <c r="I80" s="5">
        <v>10</v>
      </c>
      <c r="J80" s="3">
        <f t="shared" si="6"/>
        <v>10</v>
      </c>
      <c r="K80" s="6">
        <v>45973</v>
      </c>
      <c r="L80" s="6">
        <v>45974</v>
      </c>
      <c r="M80" s="7">
        <f t="shared" ca="1" si="7"/>
        <v>1</v>
      </c>
      <c r="N80" s="7">
        <f t="shared" ca="1" si="8"/>
        <v>10</v>
      </c>
      <c r="O80" s="7" t="str">
        <f t="shared" ca="1" si="9"/>
        <v>Low</v>
      </c>
      <c r="P80" s="23" t="s">
        <v>43</v>
      </c>
    </row>
    <row r="81" spans="1:16" x14ac:dyDescent="0.35">
      <c r="A81" s="17" t="s">
        <v>85</v>
      </c>
      <c r="B81" s="3" t="s">
        <v>86</v>
      </c>
      <c r="C81" s="3" t="s">
        <v>64</v>
      </c>
      <c r="D81" s="3" t="s">
        <v>87</v>
      </c>
      <c r="E81" s="3" t="s">
        <v>53</v>
      </c>
      <c r="F81" s="3" t="s">
        <v>49</v>
      </c>
      <c r="G81" s="3" t="s">
        <v>54</v>
      </c>
      <c r="H81" s="4" t="s">
        <v>39</v>
      </c>
      <c r="I81" s="5">
        <v>10</v>
      </c>
      <c r="J81" s="3">
        <f t="shared" si="6"/>
        <v>10</v>
      </c>
      <c r="K81" s="6">
        <v>45993</v>
      </c>
      <c r="L81" s="6">
        <v>45994</v>
      </c>
      <c r="M81" s="7">
        <f t="shared" ca="1" si="7"/>
        <v>1</v>
      </c>
      <c r="N81" s="7">
        <f t="shared" ca="1" si="8"/>
        <v>10</v>
      </c>
      <c r="O81" s="7" t="str">
        <f t="shared" ca="1" si="9"/>
        <v>Low</v>
      </c>
      <c r="P81" s="23" t="s">
        <v>43</v>
      </c>
    </row>
    <row r="82" spans="1:16" x14ac:dyDescent="0.35">
      <c r="A82" s="17" t="s">
        <v>85</v>
      </c>
      <c r="B82" s="3" t="s">
        <v>86</v>
      </c>
      <c r="C82" s="3" t="s">
        <v>64</v>
      </c>
      <c r="D82" s="3" t="s">
        <v>87</v>
      </c>
      <c r="E82" s="3" t="s">
        <v>55</v>
      </c>
      <c r="F82" s="3" t="s">
        <v>49</v>
      </c>
      <c r="G82" s="3" t="s">
        <v>54</v>
      </c>
      <c r="H82" s="4" t="s">
        <v>39</v>
      </c>
      <c r="I82" s="5">
        <v>12</v>
      </c>
      <c r="J82" s="3">
        <f t="shared" si="6"/>
        <v>12</v>
      </c>
      <c r="K82" s="6">
        <v>46033</v>
      </c>
      <c r="L82" s="6">
        <v>46033</v>
      </c>
      <c r="M82" s="7">
        <f t="shared" ca="1" si="7"/>
        <v>0</v>
      </c>
      <c r="N82" s="7">
        <f t="shared" ca="1" si="8"/>
        <v>0</v>
      </c>
      <c r="O82" s="7" t="str">
        <f t="shared" ca="1" si="9"/>
        <v>Low</v>
      </c>
      <c r="P82" s="23" t="s">
        <v>43</v>
      </c>
    </row>
    <row r="83" spans="1:16" x14ac:dyDescent="0.35">
      <c r="A83" s="17" t="s">
        <v>85</v>
      </c>
      <c r="B83" s="3" t="s">
        <v>86</v>
      </c>
      <c r="C83" s="3" t="s">
        <v>64</v>
      </c>
      <c r="D83" s="3" t="s">
        <v>87</v>
      </c>
      <c r="E83" s="3" t="s">
        <v>57</v>
      </c>
      <c r="F83" s="3" t="s">
        <v>58</v>
      </c>
      <c r="G83" s="3" t="s">
        <v>59</v>
      </c>
      <c r="H83" s="4" t="s">
        <v>39</v>
      </c>
      <c r="I83" s="5">
        <v>10</v>
      </c>
      <c r="J83" s="3">
        <f t="shared" si="6"/>
        <v>10</v>
      </c>
      <c r="K83" s="6">
        <v>46053</v>
      </c>
      <c r="L83" s="6">
        <v>46053</v>
      </c>
      <c r="M83" s="7">
        <f t="shared" ca="1" si="7"/>
        <v>0</v>
      </c>
      <c r="N83" s="7">
        <f t="shared" ca="1" si="8"/>
        <v>0</v>
      </c>
      <c r="O83" s="7" t="str">
        <f t="shared" ca="1" si="9"/>
        <v>Low</v>
      </c>
      <c r="P83" s="23" t="s">
        <v>43</v>
      </c>
    </row>
    <row r="84" spans="1:16" x14ac:dyDescent="0.35">
      <c r="A84" s="17" t="s">
        <v>85</v>
      </c>
      <c r="B84" s="3" t="s">
        <v>86</v>
      </c>
      <c r="C84" s="3" t="s">
        <v>64</v>
      </c>
      <c r="D84" s="3" t="s">
        <v>87</v>
      </c>
      <c r="E84" s="3" t="s">
        <v>60</v>
      </c>
      <c r="F84" s="3" t="s">
        <v>58</v>
      </c>
      <c r="G84" s="3" t="s">
        <v>61</v>
      </c>
      <c r="H84" s="4" t="s">
        <v>39</v>
      </c>
      <c r="I84" s="5">
        <v>14</v>
      </c>
      <c r="J84" s="3">
        <f t="shared" si="6"/>
        <v>14</v>
      </c>
      <c r="K84" s="6">
        <v>46063</v>
      </c>
      <c r="L84" s="6">
        <v>46063</v>
      </c>
      <c r="M84" s="7">
        <f t="shared" ca="1" si="7"/>
        <v>0</v>
      </c>
      <c r="N84" s="7">
        <f t="shared" ca="1" si="8"/>
        <v>0</v>
      </c>
      <c r="O84" s="7" t="str">
        <f t="shared" ca="1" si="9"/>
        <v>Low</v>
      </c>
      <c r="P84" s="23" t="s">
        <v>43</v>
      </c>
    </row>
  </sheetData>
  <mergeCells count="2">
    <mergeCell ref="A1:P1"/>
    <mergeCell ref="A2:P2"/>
  </mergeCells>
  <conditionalFormatting sqref="H5:H84">
    <cfRule type="cellIs" dxfId="10" priority="6" operator="equal">
      <formula>"☑"</formula>
    </cfRule>
  </conditionalFormatting>
  <conditionalFormatting sqref="M5:M84">
    <cfRule type="cellIs" dxfId="9" priority="7" operator="greaterThan">
      <formula>10</formula>
    </cfRule>
  </conditionalFormatting>
  <conditionalFormatting sqref="O5:O84">
    <cfRule type="cellIs" dxfId="8" priority="2" operator="equal">
      <formula>$O$7</formula>
    </cfRule>
    <cfRule type="cellIs" dxfId="7" priority="3" operator="equal">
      <formula>$O$48</formula>
    </cfRule>
    <cfRule type="cellIs" dxfId="6" priority="4" operator="equal">
      <formula>$O$73</formula>
    </cfRule>
    <cfRule type="dataBar" priority="5">
      <dataBar>
        <cfvo type="min"/>
        <cfvo type="max"/>
        <color theme="9" tint="-0.249977111117893"/>
      </dataBar>
      <extLst>
        <ext xmlns:x14="http://schemas.microsoft.com/office/spreadsheetml/2009/9/main" uri="{B025F937-C7B1-47D3-B67F-A62EFF666E3E}">
          <x14:id>{82CF4CE2-55DF-4DF3-BB1C-FE79F5E1C16B}</x14:id>
        </ext>
      </extLst>
    </cfRule>
    <cfRule type="dataBar" priority="8">
      <dataBar>
        <cfvo type="num" val="0"/>
        <cfvo type="max"/>
        <color rgb="FFF39C12"/>
      </dataBar>
    </cfRule>
  </conditionalFormatting>
  <conditionalFormatting sqref="P5:P84">
    <cfRule type="cellIs" dxfId="5" priority="1" operator="equal">
      <formula>$P$6</formula>
    </cfRule>
  </conditionalFormatting>
  <dataValidations count="1">
    <dataValidation type="list" sqref="H5:H84" xr:uid="{00000000-0002-0000-0100-000000000000}">
      <formula1>"☐,☑"</formula1>
    </dataValidation>
  </dataValidations>
  <pageMargins left="0.75" right="0.75" top="1" bottom="1" header="0.5" footer="0.5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CF4CE2-55DF-4DF3-BB1C-FE79F5E1C16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O5:O84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2"/>
  <sheetViews>
    <sheetView showGridLines="0" workbookViewId="0">
      <pane ySplit="4" topLeftCell="A5" activePane="bottomLeft" state="frozen"/>
      <selection pane="bottomLeft" sqref="A1:T1"/>
    </sheetView>
  </sheetViews>
  <sheetFormatPr defaultRowHeight="14.5" x14ac:dyDescent="0.35"/>
  <cols>
    <col min="1" max="1" width="12" customWidth="1"/>
    <col min="2" max="2" width="26" customWidth="1"/>
    <col min="3" max="3" width="14" customWidth="1"/>
    <col min="4" max="4" width="18" customWidth="1"/>
    <col min="5" max="5" width="12" customWidth="1"/>
    <col min="6" max="6" width="15" customWidth="1"/>
    <col min="7" max="7" width="14" customWidth="1"/>
    <col min="8" max="8" width="16" customWidth="1"/>
    <col min="9" max="9" width="20.453125" customWidth="1"/>
    <col min="10" max="10" width="12" customWidth="1"/>
    <col min="11" max="11" width="16" customWidth="1"/>
    <col min="12" max="12" width="14" customWidth="1"/>
    <col min="13" max="14" width="12" customWidth="1"/>
    <col min="15" max="15" width="14.81640625" customWidth="1"/>
    <col min="16" max="16" width="9.54296875" bestFit="1" customWidth="1"/>
    <col min="17" max="17" width="14" customWidth="1"/>
    <col min="18" max="18" width="12.7265625" customWidth="1"/>
    <col min="19" max="19" width="18.90625" customWidth="1"/>
    <col min="20" max="20" width="13" customWidth="1"/>
  </cols>
  <sheetData>
    <row r="1" spans="1:20" ht="24" customHeight="1" x14ac:dyDescent="0.35">
      <c r="A1" s="35" t="s">
        <v>139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</row>
    <row r="2" spans="1:20" ht="20" customHeight="1" x14ac:dyDescent="0.35">
      <c r="A2" s="33" t="s">
        <v>88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</row>
    <row r="4" spans="1:20" ht="22" customHeight="1" x14ac:dyDescent="0.35">
      <c r="A4" s="11" t="s">
        <v>17</v>
      </c>
      <c r="B4" s="11" t="s">
        <v>18</v>
      </c>
      <c r="C4" s="11" t="s">
        <v>19</v>
      </c>
      <c r="D4" s="11" t="s">
        <v>20</v>
      </c>
      <c r="E4" s="11" t="s">
        <v>89</v>
      </c>
      <c r="F4" s="11" t="s">
        <v>22</v>
      </c>
      <c r="G4" s="11" t="s">
        <v>90</v>
      </c>
      <c r="H4" s="11" t="s">
        <v>91</v>
      </c>
      <c r="I4" s="11" t="s">
        <v>92</v>
      </c>
      <c r="J4" s="11" t="s">
        <v>93</v>
      </c>
      <c r="K4" s="11" t="s">
        <v>94</v>
      </c>
      <c r="L4" s="11" t="s">
        <v>95</v>
      </c>
      <c r="M4" s="11" t="s">
        <v>96</v>
      </c>
      <c r="N4" s="11" t="s">
        <v>97</v>
      </c>
      <c r="O4" s="11" t="s">
        <v>98</v>
      </c>
      <c r="P4" s="11" t="s">
        <v>99</v>
      </c>
      <c r="Q4" s="11" t="s">
        <v>100</v>
      </c>
      <c r="R4" s="11" t="s">
        <v>101</v>
      </c>
      <c r="S4" s="11" t="s">
        <v>102</v>
      </c>
      <c r="T4" s="11" t="s">
        <v>103</v>
      </c>
    </row>
    <row r="5" spans="1:20" x14ac:dyDescent="0.35">
      <c r="A5" s="25" t="s">
        <v>32</v>
      </c>
      <c r="B5" s="25" t="s">
        <v>33</v>
      </c>
      <c r="C5" s="25" t="s">
        <v>34</v>
      </c>
      <c r="D5" s="25" t="s">
        <v>35</v>
      </c>
      <c r="E5" s="25">
        <v>145</v>
      </c>
      <c r="F5" s="25" t="s">
        <v>37</v>
      </c>
      <c r="G5" s="26">
        <v>46233</v>
      </c>
      <c r="H5" s="25">
        <f>SUMIF(Task_Tracker!$A$5:$A$84,A5,Task_Tracker!$J$5:$J$84)</f>
        <v>64</v>
      </c>
      <c r="I5" s="25">
        <f>SUMIF(Task_Tracker!$A$5:$A$84,A5,Task_Tracker!$I$5:$I$84)</f>
        <v>100</v>
      </c>
      <c r="J5" s="24">
        <f t="shared" ref="J5:J12" si="0">IFERROR(H5/I5,0)</f>
        <v>0.64</v>
      </c>
      <c r="K5" s="27">
        <f ca="1">SUMIF(Task_Tracker!$A$5:$A$84,A5,Task_Tracker!$N$5:$N$84)</f>
        <v>260</v>
      </c>
      <c r="L5" s="28">
        <f ca="1">IFERROR(AVERAGEIF(Task_Tracker!$A$5:$A$84,A5,Task_Tracker!$M$5:$M$84),0)</f>
        <v>2.7</v>
      </c>
      <c r="M5" s="25" t="str">
        <f t="shared" ref="M5:M12" ca="1" si="1">IF(K5&gt;120,"High",IF(K5&gt;45,"Medium","Low"))</f>
        <v>High</v>
      </c>
      <c r="N5" s="29">
        <f t="shared" ref="N5:N12" ca="1" si="2">IF(M5="High",0.75,IF(M5="Medium",0.9,1))</f>
        <v>0.75</v>
      </c>
      <c r="O5" s="30">
        <f ca="1">J5*N5</f>
        <v>0.48</v>
      </c>
      <c r="P5" s="31">
        <v>120</v>
      </c>
      <c r="Q5" s="31">
        <v>114</v>
      </c>
      <c r="R5" s="24">
        <f t="shared" ref="R5:R12" si="3">IFERROR(Q5/P5,0)</f>
        <v>0.95</v>
      </c>
      <c r="S5" s="24">
        <f t="shared" ref="S5:S12" si="4">IFERROR(J5/R5,0)</f>
        <v>0.67368421052631589</v>
      </c>
      <c r="T5" s="25" t="str">
        <f t="shared" ref="T5:T12" si="5">IF(J5&lt;R5,"Over Budget","On Track")</f>
        <v>Over Budget</v>
      </c>
    </row>
    <row r="6" spans="1:20" x14ac:dyDescent="0.35">
      <c r="A6" s="25" t="s">
        <v>62</v>
      </c>
      <c r="B6" s="25" t="s">
        <v>63</v>
      </c>
      <c r="C6" s="25" t="s">
        <v>64</v>
      </c>
      <c r="D6" s="25" t="s">
        <v>65</v>
      </c>
      <c r="E6" s="25">
        <v>220</v>
      </c>
      <c r="F6" s="25" t="s">
        <v>49</v>
      </c>
      <c r="G6" s="26">
        <v>46280</v>
      </c>
      <c r="H6" s="25">
        <f>SUMIF(Task_Tracker!$A$5:$A$84,A6,Task_Tracker!$J$5:$J$84)</f>
        <v>54</v>
      </c>
      <c r="I6" s="25">
        <f>SUMIF(Task_Tracker!$A$5:$A$84,A6,Task_Tracker!$I$5:$I$84)</f>
        <v>100</v>
      </c>
      <c r="J6" s="24">
        <f t="shared" si="0"/>
        <v>0.54</v>
      </c>
      <c r="K6" s="27">
        <f ca="1">SUMIF(Task_Tracker!$A$5:$A$84,A6,Task_Tracker!$N$5:$N$84)</f>
        <v>116</v>
      </c>
      <c r="L6" s="28">
        <f ca="1">IFERROR(AVERAGEIF(Task_Tracker!$A$5:$A$84,A6,Task_Tracker!$M$5:$M$84),0)</f>
        <v>1.3</v>
      </c>
      <c r="M6" s="25" t="str">
        <f t="shared" ca="1" si="1"/>
        <v>Medium</v>
      </c>
      <c r="N6" s="29">
        <f t="shared" ca="1" si="2"/>
        <v>0.9</v>
      </c>
      <c r="O6" s="30">
        <f t="shared" ref="O6:O12" ca="1" si="6">J6*N6</f>
        <v>0.48600000000000004</v>
      </c>
      <c r="P6" s="31">
        <v>165</v>
      </c>
      <c r="Q6" s="31">
        <v>172</v>
      </c>
      <c r="R6" s="24">
        <f t="shared" si="3"/>
        <v>1.0424242424242425</v>
      </c>
      <c r="S6" s="24">
        <f t="shared" si="4"/>
        <v>0.51802325581395348</v>
      </c>
      <c r="T6" s="25" t="str">
        <f t="shared" si="5"/>
        <v>Over Budget</v>
      </c>
    </row>
    <row r="7" spans="1:20" x14ac:dyDescent="0.35">
      <c r="A7" s="25" t="s">
        <v>66</v>
      </c>
      <c r="B7" s="25" t="s">
        <v>67</v>
      </c>
      <c r="C7" s="25" t="s">
        <v>68</v>
      </c>
      <c r="D7" s="25" t="s">
        <v>69</v>
      </c>
      <c r="E7" s="25">
        <v>110</v>
      </c>
      <c r="F7" s="25" t="s">
        <v>49</v>
      </c>
      <c r="G7" s="26">
        <v>46305</v>
      </c>
      <c r="H7" s="25">
        <f>SUMIF(Task_Tracker!$A$5:$A$84,A7,Task_Tracker!$J$5:$J$84)</f>
        <v>44</v>
      </c>
      <c r="I7" s="25">
        <f>SUMIF(Task_Tracker!$A$5:$A$84,A7,Task_Tracker!$I$5:$I$84)</f>
        <v>100</v>
      </c>
      <c r="J7" s="24">
        <f t="shared" si="0"/>
        <v>0.44</v>
      </c>
      <c r="K7" s="27">
        <f ca="1">SUMIF(Task_Tracker!$A$5:$A$84,A7,Task_Tracker!$N$5:$N$84)</f>
        <v>56</v>
      </c>
      <c r="L7" s="28">
        <f ca="1">IFERROR(AVERAGEIF(Task_Tracker!$A$5:$A$84,A7,Task_Tracker!$M$5:$M$84),0)</f>
        <v>0.6</v>
      </c>
      <c r="M7" s="25" t="str">
        <f t="shared" ca="1" si="1"/>
        <v>Medium</v>
      </c>
      <c r="N7" s="29">
        <f t="shared" ca="1" si="2"/>
        <v>0.9</v>
      </c>
      <c r="O7" s="30">
        <f t="shared" ca="1" si="6"/>
        <v>0.39600000000000002</v>
      </c>
      <c r="P7" s="31">
        <v>94</v>
      </c>
      <c r="Q7" s="31">
        <v>98</v>
      </c>
      <c r="R7" s="24">
        <f t="shared" si="3"/>
        <v>1.0425531914893618</v>
      </c>
      <c r="S7" s="24">
        <f t="shared" si="4"/>
        <v>0.42204081632653057</v>
      </c>
      <c r="T7" s="25" t="str">
        <f t="shared" si="5"/>
        <v>Over Budget</v>
      </c>
    </row>
    <row r="8" spans="1:20" x14ac:dyDescent="0.35">
      <c r="A8" s="25" t="s">
        <v>70</v>
      </c>
      <c r="B8" s="25" t="s">
        <v>71</v>
      </c>
      <c r="C8" s="25" t="s">
        <v>72</v>
      </c>
      <c r="D8" s="25" t="s">
        <v>73</v>
      </c>
      <c r="E8" s="25">
        <v>95</v>
      </c>
      <c r="F8" s="25" t="s">
        <v>104</v>
      </c>
      <c r="G8" s="26">
        <v>46082</v>
      </c>
      <c r="H8" s="25">
        <f>SUMIF(Task_Tracker!$A$5:$A$84,A8,Task_Tracker!$J$5:$J$84)</f>
        <v>100</v>
      </c>
      <c r="I8" s="25">
        <f>SUMIF(Task_Tracker!$A$5:$A$84,A8,Task_Tracker!$I$5:$I$84)</f>
        <v>100</v>
      </c>
      <c r="J8" s="24">
        <f t="shared" si="0"/>
        <v>1</v>
      </c>
      <c r="K8" s="27">
        <f ca="1">SUMIF(Task_Tracker!$A$5:$A$84,A8,Task_Tracker!$N$5:$N$84)</f>
        <v>26</v>
      </c>
      <c r="L8" s="28">
        <f ca="1">IFERROR(AVERAGEIF(Task_Tracker!$A$5:$A$84,A8,Task_Tracker!$M$5:$M$84),0)</f>
        <v>0.3</v>
      </c>
      <c r="M8" s="25" t="str">
        <f t="shared" ca="1" si="1"/>
        <v>Low</v>
      </c>
      <c r="N8" s="29">
        <f t="shared" ca="1" si="2"/>
        <v>1</v>
      </c>
      <c r="O8" s="30">
        <f t="shared" ca="1" si="6"/>
        <v>1</v>
      </c>
      <c r="P8" s="31">
        <v>82</v>
      </c>
      <c r="Q8" s="31">
        <v>81</v>
      </c>
      <c r="R8" s="24">
        <f t="shared" si="3"/>
        <v>0.98780487804878048</v>
      </c>
      <c r="S8" s="24">
        <f t="shared" si="4"/>
        <v>1.0123456790123457</v>
      </c>
      <c r="T8" s="25" t="str">
        <f t="shared" si="5"/>
        <v>On Track</v>
      </c>
    </row>
    <row r="9" spans="1:20" x14ac:dyDescent="0.35">
      <c r="A9" s="25" t="s">
        <v>74</v>
      </c>
      <c r="B9" s="25" t="s">
        <v>75</v>
      </c>
      <c r="C9" s="25" t="s">
        <v>76</v>
      </c>
      <c r="D9" s="25" t="s">
        <v>77</v>
      </c>
      <c r="E9" s="25">
        <v>80</v>
      </c>
      <c r="F9" s="25" t="s">
        <v>37</v>
      </c>
      <c r="G9" s="26">
        <v>46254</v>
      </c>
      <c r="H9" s="25">
        <f>SUMIF(Task_Tracker!$A$5:$A$84,A9,Task_Tracker!$J$5:$J$84)</f>
        <v>30</v>
      </c>
      <c r="I9" s="25">
        <f>SUMIF(Task_Tracker!$A$5:$A$84,A9,Task_Tracker!$I$5:$I$84)</f>
        <v>100</v>
      </c>
      <c r="J9" s="24">
        <f t="shared" si="0"/>
        <v>0.3</v>
      </c>
      <c r="K9" s="27">
        <f ca="1">SUMIF(Task_Tracker!$A$5:$A$84,A9,Task_Tracker!$N$5:$N$84)</f>
        <v>640</v>
      </c>
      <c r="L9" s="28">
        <f ca="1">IFERROR(AVERAGEIF(Task_Tracker!$A$5:$A$84,A9,Task_Tracker!$M$5:$M$84),0)</f>
        <v>9.5</v>
      </c>
      <c r="M9" s="25" t="str">
        <f t="shared" ca="1" si="1"/>
        <v>High</v>
      </c>
      <c r="N9" s="29">
        <f t="shared" ca="1" si="2"/>
        <v>0.75</v>
      </c>
      <c r="O9" s="30">
        <f t="shared" ca="1" si="6"/>
        <v>0.22499999999999998</v>
      </c>
      <c r="P9" s="31">
        <v>68</v>
      </c>
      <c r="Q9" s="31">
        <v>67</v>
      </c>
      <c r="R9" s="24">
        <f t="shared" si="3"/>
        <v>0.98529411764705888</v>
      </c>
      <c r="S9" s="24">
        <f t="shared" si="4"/>
        <v>0.30447761194029849</v>
      </c>
      <c r="T9" s="25" t="str">
        <f t="shared" si="5"/>
        <v>Over Budget</v>
      </c>
    </row>
    <row r="10" spans="1:20" x14ac:dyDescent="0.35">
      <c r="A10" s="25" t="s">
        <v>78</v>
      </c>
      <c r="B10" s="25" t="s">
        <v>79</v>
      </c>
      <c r="C10" s="25" t="s">
        <v>80</v>
      </c>
      <c r="D10" s="25" t="s">
        <v>81</v>
      </c>
      <c r="E10" s="25">
        <v>130</v>
      </c>
      <c r="F10" s="25" t="s">
        <v>49</v>
      </c>
      <c r="G10" s="26">
        <v>46331</v>
      </c>
      <c r="H10" s="25">
        <f>SUMIF(Task_Tracker!$A$5:$A$84,A10,Task_Tracker!$J$5:$J$84)</f>
        <v>44</v>
      </c>
      <c r="I10" s="25">
        <f>SUMIF(Task_Tracker!$A$5:$A$84,A10,Task_Tracker!$I$5:$I$84)</f>
        <v>100</v>
      </c>
      <c r="J10" s="24">
        <f t="shared" si="0"/>
        <v>0.44</v>
      </c>
      <c r="K10" s="27">
        <f ca="1">SUMIF(Task_Tracker!$A$5:$A$84,A10,Task_Tracker!$N$5:$N$84)</f>
        <v>34</v>
      </c>
      <c r="L10" s="28">
        <f ca="1">IFERROR(AVERAGEIF(Task_Tracker!$A$5:$A$84,A10,Task_Tracker!$M$5:$M$84),0)</f>
        <v>0.4</v>
      </c>
      <c r="M10" s="25" t="str">
        <f t="shared" ca="1" si="1"/>
        <v>Low</v>
      </c>
      <c r="N10" s="29">
        <f t="shared" ca="1" si="2"/>
        <v>1</v>
      </c>
      <c r="O10" s="30">
        <f t="shared" ca="1" si="6"/>
        <v>0.44</v>
      </c>
      <c r="P10" s="31">
        <v>101</v>
      </c>
      <c r="Q10" s="31">
        <v>108</v>
      </c>
      <c r="R10" s="24">
        <f t="shared" si="3"/>
        <v>1.0693069306930694</v>
      </c>
      <c r="S10" s="24">
        <f t="shared" si="4"/>
        <v>0.41148148148148145</v>
      </c>
      <c r="T10" s="25" t="str">
        <f t="shared" si="5"/>
        <v>Over Budget</v>
      </c>
    </row>
    <row r="11" spans="1:20" x14ac:dyDescent="0.35">
      <c r="A11" s="25" t="s">
        <v>82</v>
      </c>
      <c r="B11" s="25" t="s">
        <v>83</v>
      </c>
      <c r="C11" s="25" t="s">
        <v>34</v>
      </c>
      <c r="D11" s="25" t="s">
        <v>84</v>
      </c>
      <c r="E11" s="25">
        <v>160</v>
      </c>
      <c r="F11" s="25" t="s">
        <v>37</v>
      </c>
      <c r="G11" s="26">
        <v>46371</v>
      </c>
      <c r="H11" s="25">
        <f>SUMIF(Task_Tracker!$A$5:$A$84,A11,Task_Tracker!$J$5:$J$84)</f>
        <v>36</v>
      </c>
      <c r="I11" s="25">
        <f>SUMIF(Task_Tracker!$A$5:$A$84,A11,Task_Tracker!$I$5:$I$84)</f>
        <v>100</v>
      </c>
      <c r="J11" s="24">
        <f t="shared" si="0"/>
        <v>0.36</v>
      </c>
      <c r="K11" s="27">
        <f ca="1">SUMIF(Task_Tracker!$A$5:$A$84,A11,Task_Tracker!$N$5:$N$84)</f>
        <v>46</v>
      </c>
      <c r="L11" s="28">
        <f ca="1">IFERROR(AVERAGEIF(Task_Tracker!$A$5:$A$84,A11,Task_Tracker!$M$5:$M$84),0)</f>
        <v>0.5</v>
      </c>
      <c r="M11" s="25" t="str">
        <f t="shared" ca="1" si="1"/>
        <v>Medium</v>
      </c>
      <c r="N11" s="29">
        <f t="shared" ca="1" si="2"/>
        <v>0.9</v>
      </c>
      <c r="O11" s="30">
        <f t="shared" ca="1" si="6"/>
        <v>0.32400000000000001</v>
      </c>
      <c r="P11" s="31">
        <v>126</v>
      </c>
      <c r="Q11" s="31">
        <v>123</v>
      </c>
      <c r="R11" s="24">
        <f t="shared" si="3"/>
        <v>0.97619047619047616</v>
      </c>
      <c r="S11" s="24">
        <f t="shared" si="4"/>
        <v>0.36878048780487804</v>
      </c>
      <c r="T11" s="25" t="str">
        <f t="shared" si="5"/>
        <v>Over Budget</v>
      </c>
    </row>
    <row r="12" spans="1:20" x14ac:dyDescent="0.35">
      <c r="A12" s="25" t="s">
        <v>85</v>
      </c>
      <c r="B12" s="25" t="s">
        <v>86</v>
      </c>
      <c r="C12" s="25" t="s">
        <v>64</v>
      </c>
      <c r="D12" s="25" t="s">
        <v>87</v>
      </c>
      <c r="E12" s="25">
        <v>175</v>
      </c>
      <c r="F12" s="25" t="s">
        <v>104</v>
      </c>
      <c r="G12" s="26">
        <v>46063</v>
      </c>
      <c r="H12" s="25">
        <f>SUMIF(Task_Tracker!$A$5:$A$84,A12,Task_Tracker!$J$5:$J$84)</f>
        <v>100</v>
      </c>
      <c r="I12" s="25">
        <f>SUMIF(Task_Tracker!$A$5:$A$84,A12,Task_Tracker!$I$5:$I$84)</f>
        <v>100</v>
      </c>
      <c r="J12" s="24">
        <f t="shared" si="0"/>
        <v>1</v>
      </c>
      <c r="K12" s="27">
        <f ca="1">SUMIF(Task_Tracker!$A$5:$A$84,A12,Task_Tracker!$N$5:$N$84)</f>
        <v>20</v>
      </c>
      <c r="L12" s="28">
        <f ca="1">IFERROR(AVERAGEIF(Task_Tracker!$A$5:$A$84,A12,Task_Tracker!$M$5:$M$84),0)</f>
        <v>0.2</v>
      </c>
      <c r="M12" s="25" t="str">
        <f t="shared" ca="1" si="1"/>
        <v>Low</v>
      </c>
      <c r="N12" s="29">
        <f t="shared" ca="1" si="2"/>
        <v>1</v>
      </c>
      <c r="O12" s="30">
        <f t="shared" ca="1" si="6"/>
        <v>1</v>
      </c>
      <c r="P12" s="31">
        <v>136</v>
      </c>
      <c r="Q12" s="31">
        <v>134</v>
      </c>
      <c r="R12" s="24">
        <f t="shared" si="3"/>
        <v>0.98529411764705888</v>
      </c>
      <c r="S12" s="24">
        <f t="shared" si="4"/>
        <v>1.0149253731343284</v>
      </c>
      <c r="T12" s="25" t="str">
        <f t="shared" si="5"/>
        <v>On Track</v>
      </c>
    </row>
  </sheetData>
  <mergeCells count="2">
    <mergeCell ref="A1:T1"/>
    <mergeCell ref="A2:T2"/>
  </mergeCells>
  <conditionalFormatting sqref="J5:J12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{C0EAE0E0-F578-486E-B1E3-9E0B0DDDE178}</x14:id>
        </ext>
      </extLst>
    </cfRule>
    <cfRule type="dataBar" priority="13">
      <dataBar>
        <cfvo type="min"/>
        <cfvo type="max"/>
        <color theme="9" tint="-0.249977111117893"/>
      </dataBar>
      <extLst>
        <ext xmlns:x14="http://schemas.microsoft.com/office/spreadsheetml/2009/9/main" uri="{B025F937-C7B1-47D3-B67F-A62EFF666E3E}">
          <x14:id>{277C644D-0282-4800-A8FA-2D5019E86442}</x14:id>
        </ext>
      </extLst>
    </cfRule>
    <cfRule type="dataBar" priority="14">
      <dataBar>
        <cfvo type="num" val="0"/>
        <cfvo type="num" val="1"/>
        <color rgb="FF0F9D94"/>
      </dataBar>
    </cfRule>
  </conditionalFormatting>
  <conditionalFormatting sqref="O5:O12">
    <cfRule type="dataBar" priority="16">
      <dataBar>
        <cfvo type="num" val="0"/>
        <cfvo type="num" val="1"/>
        <color rgb="FF2E7D32"/>
      </dataBar>
    </cfRule>
  </conditionalFormatting>
  <conditionalFormatting sqref="S5:S12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{0AEE7B5B-8B19-4FA3-AB01-46FF93DB39EE}</x14:id>
        </ext>
      </extLst>
    </cfRule>
    <cfRule type="dataBar" priority="2">
      <dataBar>
        <cfvo type="min"/>
        <cfvo type="max"/>
        <color theme="9" tint="-0.249977111117893"/>
      </dataBar>
      <extLst>
        <ext xmlns:x14="http://schemas.microsoft.com/office/spreadsheetml/2009/9/main" uri="{B025F937-C7B1-47D3-B67F-A62EFF666E3E}">
          <x14:id>{E8DD7876-B7AA-4492-BE93-4F0B473EA4C7}</x14:id>
        </ext>
      </extLst>
    </cfRule>
    <cfRule type="dataBar" priority="3">
      <dataBar>
        <cfvo type="num" val="0"/>
        <cfvo type="num" val="1"/>
        <color rgb="FF0F9D94"/>
      </dataBar>
    </cfRule>
  </conditionalFormatting>
  <conditionalFormatting sqref="T5:T7">
    <cfRule type="cellIs" dxfId="4" priority="7" operator="equal">
      <formula>$T$5</formula>
    </cfRule>
  </conditionalFormatting>
  <conditionalFormatting sqref="T5:T12">
    <cfRule type="cellIs" dxfId="3" priority="18" operator="equal">
      <formula>"Over Budget"</formula>
    </cfRule>
  </conditionalFormatting>
  <conditionalFormatting sqref="T8">
    <cfRule type="cellIs" dxfId="2" priority="6" operator="equal">
      <formula>$T$8</formula>
    </cfRule>
  </conditionalFormatting>
  <conditionalFormatting sqref="T9:T11">
    <cfRule type="cellIs" dxfId="1" priority="5" operator="equal">
      <formula>$T$5</formula>
    </cfRule>
  </conditionalFormatting>
  <conditionalFormatting sqref="T12">
    <cfRule type="cellIs" dxfId="0" priority="4" operator="equal">
      <formula>$T$8</formula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EAE0E0-F578-486E-B1E3-9E0B0DDDE17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277C644D-0282-4800-A8FA-2D5019E86442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J5:J12</xm:sqref>
        </x14:conditionalFormatting>
        <x14:conditionalFormatting xmlns:xm="http://schemas.microsoft.com/office/excel/2006/main">
          <x14:cfRule type="dataBar" id="{0AEE7B5B-8B19-4FA3-AB01-46FF93DB39E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E8DD7876-B7AA-4492-BE93-4F0B473EA4C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S5:S12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"/>
  <sheetViews>
    <sheetView showGridLines="0" workbookViewId="0">
      <pane ySplit="4" topLeftCell="A5" activePane="bottomLeft" state="frozen"/>
      <selection pane="bottomLeft" sqref="A1:XFD1"/>
    </sheetView>
  </sheetViews>
  <sheetFormatPr defaultRowHeight="14.5" x14ac:dyDescent="0.35"/>
  <cols>
    <col min="1" max="1" width="14" customWidth="1"/>
    <col min="2" max="2" width="18" customWidth="1"/>
    <col min="3" max="3" width="10" customWidth="1"/>
    <col min="4" max="4" width="18" customWidth="1"/>
    <col min="5" max="5" width="14" customWidth="1"/>
    <col min="6" max="6" width="16" customWidth="1"/>
    <col min="7" max="7" width="12" customWidth="1"/>
    <col min="8" max="8" width="29.7265625" customWidth="1"/>
    <col min="9" max="9" width="30.08984375" customWidth="1"/>
  </cols>
  <sheetData>
    <row r="1" spans="1:10" ht="24" customHeight="1" x14ac:dyDescent="0.35">
      <c r="A1" s="35" t="s">
        <v>140</v>
      </c>
      <c r="B1" s="36"/>
      <c r="C1" s="36"/>
      <c r="D1" s="36"/>
      <c r="E1" s="36"/>
      <c r="F1" s="36"/>
      <c r="G1" s="36"/>
      <c r="H1" s="36"/>
      <c r="I1" s="36"/>
      <c r="J1" s="36"/>
    </row>
    <row r="3" spans="1:10" x14ac:dyDescent="0.35">
      <c r="A3" s="37" t="s">
        <v>105</v>
      </c>
      <c r="B3" s="38"/>
      <c r="C3" s="38"/>
      <c r="D3" s="38"/>
      <c r="E3" s="38"/>
      <c r="F3" s="38"/>
      <c r="G3" s="38"/>
      <c r="H3" s="38"/>
    </row>
    <row r="4" spans="1:10" ht="22" customHeight="1" x14ac:dyDescent="0.35">
      <c r="A4" s="11" t="s">
        <v>19</v>
      </c>
      <c r="B4" s="11" t="s">
        <v>106</v>
      </c>
      <c r="C4" s="11" t="s">
        <v>91</v>
      </c>
      <c r="D4" s="11" t="s">
        <v>92</v>
      </c>
      <c r="E4" s="11" t="s">
        <v>107</v>
      </c>
      <c r="F4" s="11" t="s">
        <v>108</v>
      </c>
      <c r="G4" s="11" t="s">
        <v>109</v>
      </c>
      <c r="H4" s="11" t="s">
        <v>110</v>
      </c>
    </row>
    <row r="5" spans="1:10" x14ac:dyDescent="0.35">
      <c r="A5" s="8" t="s">
        <v>72</v>
      </c>
      <c r="B5" s="8">
        <f>COUNTIF(Portfolio_Master!$C$5:$C$12,A5)</f>
        <v>1</v>
      </c>
      <c r="C5" s="8">
        <f>SUMIF(Portfolio_Master!$C$5:$C$12,A5,Portfolio_Master!$H$5:$H$12)</f>
        <v>100</v>
      </c>
      <c r="D5" s="8">
        <f>SUMIF(Portfolio_Master!$C$5:$C$12,A5,Portfolio_Master!$I$5:$I$12)</f>
        <v>100</v>
      </c>
      <c r="E5" s="9">
        <f t="shared" ref="E5:E10" si="0">IFERROR(C5/D5,0)</f>
        <v>1</v>
      </c>
      <c r="F5" s="8">
        <f>SUMIF(Portfolio_Master!$C$5:$C$12,A5,Portfolio_Master!$E$5:$E$12)</f>
        <v>95</v>
      </c>
      <c r="G5" s="8">
        <f ca="1">COUNTIFS(Portfolio_Master!$C$5:$C$12,A5,Portfolio_Master!$M$5:$M$12,"&lt;&gt;Low")</f>
        <v>0</v>
      </c>
      <c r="H5" s="20" t="str">
        <f t="shared" ref="H5:H10" si="1">REPT("█",ROUND(E5*20,0))</f>
        <v>████████████████████</v>
      </c>
      <c r="I5" s="8"/>
    </row>
    <row r="6" spans="1:10" x14ac:dyDescent="0.35">
      <c r="A6" s="8" t="s">
        <v>34</v>
      </c>
      <c r="B6" s="8">
        <f>COUNTIF(Portfolio_Master!$C$5:$C$12,A6)</f>
        <v>2</v>
      </c>
      <c r="C6" s="8">
        <f>SUMIF(Portfolio_Master!$C$5:$C$12,A6,Portfolio_Master!$H$5:$H$12)</f>
        <v>100</v>
      </c>
      <c r="D6" s="8">
        <f>SUMIF(Portfolio_Master!$C$5:$C$12,A6,Portfolio_Master!$I$5:$I$12)</f>
        <v>200</v>
      </c>
      <c r="E6" s="9">
        <f t="shared" si="0"/>
        <v>0.5</v>
      </c>
      <c r="F6" s="8">
        <f>SUMIF(Portfolio_Master!$C$5:$C$12,A6,Portfolio_Master!$E$5:$E$12)</f>
        <v>305</v>
      </c>
      <c r="G6" s="8">
        <f ca="1">COUNTIFS(Portfolio_Master!$C$5:$C$12,A6,Portfolio_Master!$M$5:$M$12,"&lt;&gt;Low")</f>
        <v>2</v>
      </c>
      <c r="H6" s="20" t="str">
        <f t="shared" si="1"/>
        <v>██████████</v>
      </c>
      <c r="I6" s="8"/>
    </row>
    <row r="7" spans="1:10" x14ac:dyDescent="0.35">
      <c r="A7" s="8" t="s">
        <v>68</v>
      </c>
      <c r="B7" s="8">
        <f>COUNTIF(Portfolio_Master!$C$5:$C$12,A7)</f>
        <v>1</v>
      </c>
      <c r="C7" s="8">
        <f>SUMIF(Portfolio_Master!$C$5:$C$12,A7,Portfolio_Master!$H$5:$H$12)</f>
        <v>44</v>
      </c>
      <c r="D7" s="8">
        <f>SUMIF(Portfolio_Master!$C$5:$C$12,A7,Portfolio_Master!$I$5:$I$12)</f>
        <v>100</v>
      </c>
      <c r="E7" s="9">
        <f t="shared" si="0"/>
        <v>0.44</v>
      </c>
      <c r="F7" s="8">
        <f>SUMIF(Portfolio_Master!$C$5:$C$12,A7,Portfolio_Master!$E$5:$E$12)</f>
        <v>110</v>
      </c>
      <c r="G7" s="8">
        <f ca="1">COUNTIFS(Portfolio_Master!$C$5:$C$12,A7,Portfolio_Master!$M$5:$M$12,"&lt;&gt;Low")</f>
        <v>1</v>
      </c>
      <c r="H7" s="20" t="str">
        <f t="shared" si="1"/>
        <v>█████████</v>
      </c>
      <c r="I7" s="8"/>
    </row>
    <row r="8" spans="1:10" x14ac:dyDescent="0.35">
      <c r="A8" s="8" t="s">
        <v>76</v>
      </c>
      <c r="B8" s="8">
        <f>COUNTIF(Portfolio_Master!$C$5:$C$12,A8)</f>
        <v>1</v>
      </c>
      <c r="C8" s="8">
        <f>SUMIF(Portfolio_Master!$C$5:$C$12,A8,Portfolio_Master!$H$5:$H$12)</f>
        <v>30</v>
      </c>
      <c r="D8" s="8">
        <f>SUMIF(Portfolio_Master!$C$5:$C$12,A8,Portfolio_Master!$I$5:$I$12)</f>
        <v>100</v>
      </c>
      <c r="E8" s="9">
        <f t="shared" si="0"/>
        <v>0.3</v>
      </c>
      <c r="F8" s="8">
        <f>SUMIF(Portfolio_Master!$C$5:$C$12,A8,Portfolio_Master!$E$5:$E$12)</f>
        <v>80</v>
      </c>
      <c r="G8" s="8">
        <f ca="1">COUNTIFS(Portfolio_Master!$C$5:$C$12,A8,Portfolio_Master!$M$5:$M$12,"&lt;&gt;Low")</f>
        <v>1</v>
      </c>
      <c r="H8" s="20" t="str">
        <f t="shared" si="1"/>
        <v>██████</v>
      </c>
      <c r="I8" s="8"/>
    </row>
    <row r="9" spans="1:10" x14ac:dyDescent="0.35">
      <c r="A9" s="8" t="s">
        <v>80</v>
      </c>
      <c r="B9" s="8">
        <f>COUNTIF(Portfolio_Master!$C$5:$C$12,A9)</f>
        <v>1</v>
      </c>
      <c r="C9" s="8">
        <f>SUMIF(Portfolio_Master!$C$5:$C$12,A9,Portfolio_Master!$H$5:$H$12)</f>
        <v>44</v>
      </c>
      <c r="D9" s="8">
        <f>SUMIF(Portfolio_Master!$C$5:$C$12,A9,Portfolio_Master!$I$5:$I$12)</f>
        <v>100</v>
      </c>
      <c r="E9" s="9">
        <f t="shared" si="0"/>
        <v>0.44</v>
      </c>
      <c r="F9" s="8">
        <f>SUMIF(Portfolio_Master!$C$5:$C$12,A9,Portfolio_Master!$E$5:$E$12)</f>
        <v>130</v>
      </c>
      <c r="G9" s="8">
        <f ca="1">COUNTIFS(Portfolio_Master!$C$5:$C$12,A9,Portfolio_Master!$M$5:$M$12,"&lt;&gt;Low")</f>
        <v>0</v>
      </c>
      <c r="H9" s="20" t="str">
        <f t="shared" si="1"/>
        <v>█████████</v>
      </c>
      <c r="I9" s="8"/>
    </row>
    <row r="10" spans="1:10" x14ac:dyDescent="0.35">
      <c r="A10" s="8" t="s">
        <v>64</v>
      </c>
      <c r="B10" s="8">
        <f>COUNTIF(Portfolio_Master!$C$5:$C$12,A10)</f>
        <v>2</v>
      </c>
      <c r="C10" s="8">
        <f>SUMIF(Portfolio_Master!$C$5:$C$12,A10,Portfolio_Master!$H$5:$H$12)</f>
        <v>154</v>
      </c>
      <c r="D10" s="8">
        <f>SUMIF(Portfolio_Master!$C$5:$C$12,A10,Portfolio_Master!$I$5:$I$12)</f>
        <v>200</v>
      </c>
      <c r="E10" s="9">
        <f t="shared" si="0"/>
        <v>0.77</v>
      </c>
      <c r="F10" s="8">
        <f>SUMIF(Portfolio_Master!$C$5:$C$12,A10,Portfolio_Master!$E$5:$E$12)</f>
        <v>395</v>
      </c>
      <c r="G10" s="8">
        <f ca="1">COUNTIFS(Portfolio_Master!$C$5:$C$12,A10,Portfolio_Master!$M$5:$M$12,"&lt;&gt;Low")</f>
        <v>1</v>
      </c>
      <c r="H10" s="20" t="str">
        <f t="shared" si="1"/>
        <v>███████████████</v>
      </c>
      <c r="I10" s="8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</row>
    <row r="12" spans="1:10" x14ac:dyDescent="0.35">
      <c r="A12" s="37" t="s">
        <v>111</v>
      </c>
      <c r="B12" s="38"/>
      <c r="C12" s="38"/>
      <c r="D12" s="38"/>
      <c r="E12" s="38"/>
      <c r="F12" s="38"/>
      <c r="G12" s="38"/>
      <c r="H12" s="38"/>
      <c r="I12" s="18"/>
    </row>
    <row r="13" spans="1:10" ht="22" customHeight="1" x14ac:dyDescent="0.35">
      <c r="A13" s="19" t="s">
        <v>19</v>
      </c>
      <c r="B13" s="19" t="s">
        <v>20</v>
      </c>
      <c r="C13" s="19" t="s">
        <v>106</v>
      </c>
      <c r="D13" s="19" t="s">
        <v>91</v>
      </c>
      <c r="E13" s="19" t="s">
        <v>92</v>
      </c>
      <c r="F13" s="19" t="s">
        <v>107</v>
      </c>
      <c r="G13" s="19" t="s">
        <v>108</v>
      </c>
      <c r="H13" s="19" t="s">
        <v>109</v>
      </c>
      <c r="I13" s="19" t="s">
        <v>110</v>
      </c>
    </row>
    <row r="14" spans="1:10" x14ac:dyDescent="0.35">
      <c r="A14" s="8" t="s">
        <v>72</v>
      </c>
      <c r="B14" s="8" t="s">
        <v>73</v>
      </c>
      <c r="C14" s="8">
        <f>COUNTIFS(Portfolio_Master!$C$5:$C$12,A14,Portfolio_Master!$D$5:$D$12,B14)</f>
        <v>1</v>
      </c>
      <c r="D14" s="8">
        <f>SUMIFS(Portfolio_Master!$H$5:$H$12,Portfolio_Master!$C$5:$C$12,A14,Portfolio_Master!$D$5:$D$12,B14)</f>
        <v>100</v>
      </c>
      <c r="E14" s="8">
        <f>SUMIFS(Portfolio_Master!$I$5:$I$12,Portfolio_Master!$C$5:$C$12,A14,Portfolio_Master!$D$5:$D$12,B14)</f>
        <v>100</v>
      </c>
      <c r="F14" s="9">
        <f t="shared" ref="F14:F21" si="2">IFERROR(D14/E14,0)</f>
        <v>1</v>
      </c>
      <c r="G14" s="8">
        <f>SUMIFS(Portfolio_Master!$E$5:$E$12,Portfolio_Master!$C$5:$C$12,A14,Portfolio_Master!$D$5:$D$12,B14)</f>
        <v>95</v>
      </c>
      <c r="H14" s="8">
        <f ca="1">COUNTIFS(Portfolio_Master!$C$5:$C$12,A14,Portfolio_Master!$D$5:$D$12,B14,Portfolio_Master!$M$5:$M$12,"&lt;&gt;Low")</f>
        <v>0</v>
      </c>
      <c r="I14" s="20" t="str">
        <f t="shared" ref="I14:I21" si="3">REPT("█",ROUND(F14*20,0))</f>
        <v>████████████████████</v>
      </c>
    </row>
    <row r="15" spans="1:10" x14ac:dyDescent="0.35">
      <c r="A15" s="8" t="s">
        <v>34</v>
      </c>
      <c r="B15" s="8" t="s">
        <v>35</v>
      </c>
      <c r="C15" s="8">
        <f>COUNTIFS(Portfolio_Master!$C$5:$C$12,A15,Portfolio_Master!$D$5:$D$12,B15)</f>
        <v>1</v>
      </c>
      <c r="D15" s="8">
        <f>SUMIFS(Portfolio_Master!$H$5:$H$12,Portfolio_Master!$C$5:$C$12,A15,Portfolio_Master!$D$5:$D$12,B15)</f>
        <v>64</v>
      </c>
      <c r="E15" s="8">
        <f>SUMIFS(Portfolio_Master!$I$5:$I$12,Portfolio_Master!$C$5:$C$12,A15,Portfolio_Master!$D$5:$D$12,B15)</f>
        <v>100</v>
      </c>
      <c r="F15" s="9">
        <f t="shared" si="2"/>
        <v>0.64</v>
      </c>
      <c r="G15" s="8">
        <f>SUMIFS(Portfolio_Master!$E$5:$E$12,Portfolio_Master!$C$5:$C$12,A15,Portfolio_Master!$D$5:$D$12,B15)</f>
        <v>145</v>
      </c>
      <c r="H15" s="8">
        <f ca="1">COUNTIFS(Portfolio_Master!$C$5:$C$12,A15,Portfolio_Master!$D$5:$D$12,B15,Portfolio_Master!$M$5:$M$12,"&lt;&gt;Low")</f>
        <v>1</v>
      </c>
      <c r="I15" s="20" t="str">
        <f t="shared" si="3"/>
        <v>█████████████</v>
      </c>
    </row>
    <row r="16" spans="1:10" x14ac:dyDescent="0.35">
      <c r="A16" s="8" t="s">
        <v>34</v>
      </c>
      <c r="B16" s="8" t="s">
        <v>84</v>
      </c>
      <c r="C16" s="8">
        <f>COUNTIFS(Portfolio_Master!$C$5:$C$12,A16,Portfolio_Master!$D$5:$D$12,B16)</f>
        <v>1</v>
      </c>
      <c r="D16" s="8">
        <f>SUMIFS(Portfolio_Master!$H$5:$H$12,Portfolio_Master!$C$5:$C$12,A16,Portfolio_Master!$D$5:$D$12,B16)</f>
        <v>36</v>
      </c>
      <c r="E16" s="8">
        <f>SUMIFS(Portfolio_Master!$I$5:$I$12,Portfolio_Master!$C$5:$C$12,A16,Portfolio_Master!$D$5:$D$12,B16)</f>
        <v>100</v>
      </c>
      <c r="F16" s="9">
        <f t="shared" si="2"/>
        <v>0.36</v>
      </c>
      <c r="G16" s="8">
        <f>SUMIFS(Portfolio_Master!$E$5:$E$12,Portfolio_Master!$C$5:$C$12,A16,Portfolio_Master!$D$5:$D$12,B16)</f>
        <v>160</v>
      </c>
      <c r="H16" s="8">
        <f ca="1">COUNTIFS(Portfolio_Master!$C$5:$C$12,A16,Portfolio_Master!$D$5:$D$12,B16,Portfolio_Master!$M$5:$M$12,"&lt;&gt;Low")</f>
        <v>1</v>
      </c>
      <c r="I16" s="20" t="str">
        <f t="shared" si="3"/>
        <v>███████</v>
      </c>
    </row>
    <row r="17" spans="1:9" x14ac:dyDescent="0.35">
      <c r="A17" s="8" t="s">
        <v>68</v>
      </c>
      <c r="B17" s="8" t="s">
        <v>69</v>
      </c>
      <c r="C17" s="8">
        <f>COUNTIFS(Portfolio_Master!$C$5:$C$12,A17,Portfolio_Master!$D$5:$D$12,B17)</f>
        <v>1</v>
      </c>
      <c r="D17" s="8">
        <f>SUMIFS(Portfolio_Master!$H$5:$H$12,Portfolio_Master!$C$5:$C$12,A17,Portfolio_Master!$D$5:$D$12,B17)</f>
        <v>44</v>
      </c>
      <c r="E17" s="8">
        <f>SUMIFS(Portfolio_Master!$I$5:$I$12,Portfolio_Master!$C$5:$C$12,A17,Portfolio_Master!$D$5:$D$12,B17)</f>
        <v>100</v>
      </c>
      <c r="F17" s="9">
        <f t="shared" si="2"/>
        <v>0.44</v>
      </c>
      <c r="G17" s="8">
        <f>SUMIFS(Portfolio_Master!$E$5:$E$12,Portfolio_Master!$C$5:$C$12,A17,Portfolio_Master!$D$5:$D$12,B17)</f>
        <v>110</v>
      </c>
      <c r="H17" s="8">
        <f ca="1">COUNTIFS(Portfolio_Master!$C$5:$C$12,A17,Portfolio_Master!$D$5:$D$12,B17,Portfolio_Master!$M$5:$M$12,"&lt;&gt;Low")</f>
        <v>1</v>
      </c>
      <c r="I17" s="20" t="str">
        <f t="shared" si="3"/>
        <v>█████████</v>
      </c>
    </row>
    <row r="18" spans="1:9" x14ac:dyDescent="0.35">
      <c r="A18" s="8" t="s">
        <v>76</v>
      </c>
      <c r="B18" s="8" t="s">
        <v>77</v>
      </c>
      <c r="C18" s="8">
        <f>COUNTIFS(Portfolio_Master!$C$5:$C$12,A18,Portfolio_Master!$D$5:$D$12,B18)</f>
        <v>1</v>
      </c>
      <c r="D18" s="8">
        <f>SUMIFS(Portfolio_Master!$H$5:$H$12,Portfolio_Master!$C$5:$C$12,A18,Portfolio_Master!$D$5:$D$12,B18)</f>
        <v>30</v>
      </c>
      <c r="E18" s="8">
        <f>SUMIFS(Portfolio_Master!$I$5:$I$12,Portfolio_Master!$C$5:$C$12,A18,Portfolio_Master!$D$5:$D$12,B18)</f>
        <v>100</v>
      </c>
      <c r="F18" s="9">
        <f t="shared" si="2"/>
        <v>0.3</v>
      </c>
      <c r="G18" s="8">
        <f>SUMIFS(Portfolio_Master!$E$5:$E$12,Portfolio_Master!$C$5:$C$12,A18,Portfolio_Master!$D$5:$D$12,B18)</f>
        <v>80</v>
      </c>
      <c r="H18" s="8">
        <f ca="1">COUNTIFS(Portfolio_Master!$C$5:$C$12,A18,Portfolio_Master!$D$5:$D$12,B18,Portfolio_Master!$M$5:$M$12,"&lt;&gt;Low")</f>
        <v>1</v>
      </c>
      <c r="I18" s="20" t="str">
        <f t="shared" si="3"/>
        <v>██████</v>
      </c>
    </row>
    <row r="19" spans="1:9" x14ac:dyDescent="0.35">
      <c r="A19" s="8" t="s">
        <v>80</v>
      </c>
      <c r="B19" s="8" t="s">
        <v>81</v>
      </c>
      <c r="C19" s="8">
        <f>COUNTIFS(Portfolio_Master!$C$5:$C$12,A19,Portfolio_Master!$D$5:$D$12,B19)</f>
        <v>1</v>
      </c>
      <c r="D19" s="8">
        <f>SUMIFS(Portfolio_Master!$H$5:$H$12,Portfolio_Master!$C$5:$C$12,A19,Portfolio_Master!$D$5:$D$12,B19)</f>
        <v>44</v>
      </c>
      <c r="E19" s="8">
        <f>SUMIFS(Portfolio_Master!$I$5:$I$12,Portfolio_Master!$C$5:$C$12,A19,Portfolio_Master!$D$5:$D$12,B19)</f>
        <v>100</v>
      </c>
      <c r="F19" s="9">
        <f t="shared" si="2"/>
        <v>0.44</v>
      </c>
      <c r="G19" s="8">
        <f>SUMIFS(Portfolio_Master!$E$5:$E$12,Portfolio_Master!$C$5:$C$12,A19,Portfolio_Master!$D$5:$D$12,B19)</f>
        <v>130</v>
      </c>
      <c r="H19" s="8">
        <f ca="1">COUNTIFS(Portfolio_Master!$C$5:$C$12,A19,Portfolio_Master!$D$5:$D$12,B19,Portfolio_Master!$M$5:$M$12,"&lt;&gt;Low")</f>
        <v>0</v>
      </c>
      <c r="I19" s="20" t="str">
        <f t="shared" si="3"/>
        <v>█████████</v>
      </c>
    </row>
    <row r="20" spans="1:9" x14ac:dyDescent="0.35">
      <c r="A20" s="8" t="s">
        <v>64</v>
      </c>
      <c r="B20" s="8" t="s">
        <v>65</v>
      </c>
      <c r="C20" s="8">
        <f>COUNTIFS(Portfolio_Master!$C$5:$C$12,A20,Portfolio_Master!$D$5:$D$12,B20)</f>
        <v>1</v>
      </c>
      <c r="D20" s="8">
        <f>SUMIFS(Portfolio_Master!$H$5:$H$12,Portfolio_Master!$C$5:$C$12,A20,Portfolio_Master!$D$5:$D$12,B20)</f>
        <v>54</v>
      </c>
      <c r="E20" s="8">
        <f>SUMIFS(Portfolio_Master!$I$5:$I$12,Portfolio_Master!$C$5:$C$12,A20,Portfolio_Master!$D$5:$D$12,B20)</f>
        <v>100</v>
      </c>
      <c r="F20" s="9">
        <f t="shared" si="2"/>
        <v>0.54</v>
      </c>
      <c r="G20" s="8">
        <f>SUMIFS(Portfolio_Master!$E$5:$E$12,Portfolio_Master!$C$5:$C$12,A20,Portfolio_Master!$D$5:$D$12,B20)</f>
        <v>220</v>
      </c>
      <c r="H20" s="8">
        <f ca="1">COUNTIFS(Portfolio_Master!$C$5:$C$12,A20,Portfolio_Master!$D$5:$D$12,B20,Portfolio_Master!$M$5:$M$12,"&lt;&gt;Low")</f>
        <v>1</v>
      </c>
      <c r="I20" s="20" t="str">
        <f t="shared" si="3"/>
        <v>███████████</v>
      </c>
    </row>
    <row r="21" spans="1:9" x14ac:dyDescent="0.35">
      <c r="A21" s="8" t="s">
        <v>64</v>
      </c>
      <c r="B21" s="8" t="s">
        <v>87</v>
      </c>
      <c r="C21" s="8">
        <f>COUNTIFS(Portfolio_Master!$C$5:$C$12,A21,Portfolio_Master!$D$5:$D$12,B21)</f>
        <v>1</v>
      </c>
      <c r="D21" s="8">
        <f>SUMIFS(Portfolio_Master!$H$5:$H$12,Portfolio_Master!$C$5:$C$12,A21,Portfolio_Master!$D$5:$D$12,B21)</f>
        <v>100</v>
      </c>
      <c r="E21" s="8">
        <f>SUMIFS(Portfolio_Master!$I$5:$I$12,Portfolio_Master!$C$5:$C$12,A21,Portfolio_Master!$D$5:$D$12,B21)</f>
        <v>100</v>
      </c>
      <c r="F21" s="9">
        <f t="shared" si="2"/>
        <v>1</v>
      </c>
      <c r="G21" s="8">
        <f>SUMIFS(Portfolio_Master!$E$5:$E$12,Portfolio_Master!$C$5:$C$12,A21,Portfolio_Master!$D$5:$D$12,B21)</f>
        <v>175</v>
      </c>
      <c r="H21" s="8">
        <f ca="1">COUNTIFS(Portfolio_Master!$C$5:$C$12,A21,Portfolio_Master!$D$5:$D$12,B21,Portfolio_Master!$M$5:$M$12,"&lt;&gt;Low")</f>
        <v>0</v>
      </c>
      <c r="I21" s="20" t="str">
        <f t="shared" si="3"/>
        <v>████████████████████</v>
      </c>
    </row>
  </sheetData>
  <mergeCells count="3">
    <mergeCell ref="A3:H3"/>
    <mergeCell ref="A1:J1"/>
    <mergeCell ref="A12:H12"/>
  </mergeCells>
  <conditionalFormatting sqref="E5:E10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{0C28F026-B8E8-4A80-B94C-0AFA5B48128F}</x14:id>
        </ext>
      </extLst>
    </cfRule>
    <cfRule type="dataBar" priority="5">
      <dataBar>
        <cfvo type="min"/>
        <cfvo type="max"/>
        <color theme="9" tint="-0.249977111117893"/>
      </dataBar>
      <extLst>
        <ext xmlns:x14="http://schemas.microsoft.com/office/spreadsheetml/2009/9/main" uri="{B025F937-C7B1-47D3-B67F-A62EFF666E3E}">
          <x14:id>{DE2EB403-1FFF-49F1-9753-5928A5F4AEB5}</x14:id>
        </ext>
      </extLst>
    </cfRule>
    <cfRule type="dataBar" priority="6">
      <dataBar>
        <cfvo type="num" val="0"/>
        <cfvo type="num" val="1"/>
        <color rgb="FF0F9D94"/>
      </dataBar>
    </cfRule>
  </conditionalFormatting>
  <conditionalFormatting sqref="F14:F21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{234A3E83-BF16-449D-976F-4A881CCCF842}</x14:id>
        </ext>
      </extLst>
    </cfRule>
    <cfRule type="dataBar" priority="2">
      <dataBar>
        <cfvo type="min"/>
        <cfvo type="max"/>
        <color theme="9" tint="-0.249977111117893"/>
      </dataBar>
      <extLst>
        <ext xmlns:x14="http://schemas.microsoft.com/office/spreadsheetml/2009/9/main" uri="{B025F937-C7B1-47D3-B67F-A62EFF666E3E}">
          <x14:id>{AB92817A-51A9-447C-8560-57C65CBCCFA3}</x14:id>
        </ext>
      </extLst>
    </cfRule>
    <cfRule type="dataBar" priority="3">
      <dataBar>
        <cfvo type="num" val="0"/>
        <cfvo type="num" val="1"/>
        <color rgb="FF0F9D94"/>
      </dataBar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28F026-B8E8-4A80-B94C-0AFA5B48128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DE2EB403-1FFF-49F1-9753-5928A5F4AEB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E5:E10</xm:sqref>
        </x14:conditionalFormatting>
        <x14:conditionalFormatting xmlns:xm="http://schemas.microsoft.com/office/excel/2006/main">
          <x14:cfRule type="dataBar" id="{234A3E83-BF16-449D-976F-4A881CCCF84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AB92817A-51A9-447C-8560-57C65CBCCFA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F14:F21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showGridLines="0" workbookViewId="0">
      <selection sqref="A1:H1"/>
    </sheetView>
  </sheetViews>
  <sheetFormatPr defaultRowHeight="14.5" x14ac:dyDescent="0.35"/>
  <cols>
    <col min="1" max="1" width="22" customWidth="1"/>
    <col min="2" max="2" width="88" customWidth="1"/>
    <col min="3" max="3" width="24" customWidth="1"/>
  </cols>
  <sheetData>
    <row r="1" spans="1:8" ht="24" customHeight="1" x14ac:dyDescent="0.35">
      <c r="A1" s="35" t="s">
        <v>141</v>
      </c>
      <c r="B1" s="36"/>
      <c r="C1" s="36"/>
      <c r="D1" s="36"/>
      <c r="E1" s="36"/>
      <c r="F1" s="36"/>
      <c r="G1" s="36"/>
      <c r="H1" s="36"/>
    </row>
    <row r="3" spans="1:8" ht="22" customHeight="1" x14ac:dyDescent="0.35">
      <c r="A3" s="32" t="s">
        <v>112</v>
      </c>
      <c r="B3" s="32" t="s">
        <v>113</v>
      </c>
      <c r="C3" s="32" t="s">
        <v>114</v>
      </c>
    </row>
    <row r="4" spans="1:8" x14ac:dyDescent="0.35">
      <c r="A4" s="2" t="s">
        <v>115</v>
      </c>
      <c r="B4" s="2" t="str">
        <f>IF(AVERAGE(Portfolio_Master!$J$5:$J$12)&gt;=0.75,"Portfolio weighted progress is strong overall","Portfolio weighted progress indicates meaningful execution risk remains")</f>
        <v>Portfolio weighted progress indicates meaningful execution risk remains</v>
      </c>
      <c r="C4" s="2" t="s">
        <v>116</v>
      </c>
    </row>
    <row r="5" spans="1:8" x14ac:dyDescent="0.35">
      <c r="A5" s="2" t="s">
        <v>117</v>
      </c>
      <c r="B5" s="2" t="str">
        <f ca="1">COUNTIF(Portfolio_Master!$M$5:$M$12,"High")&amp;" projects show high risk based on delay impact and require management attention."</f>
        <v>2 projects show high risk based on delay impact and require management attention.</v>
      </c>
      <c r="C5" s="2" t="s">
        <v>118</v>
      </c>
    </row>
    <row r="6" spans="1:8" x14ac:dyDescent="0.35">
      <c r="A6" s="2" t="s">
        <v>119</v>
      </c>
      <c r="B6" s="2" t="str">
        <f>COUNTIF(Portfolio_Master!$T$5:$T$12,"Over Budget")&amp;" projects are consuming budget faster than weighted progress."</f>
        <v>6 projects are consuming budget faster than weighted progress.</v>
      </c>
      <c r="C6" s="2" t="s">
        <v>120</v>
      </c>
    </row>
    <row r="7" spans="1:8" x14ac:dyDescent="0.35">
      <c r="A7" s="2" t="s">
        <v>121</v>
      </c>
      <c r="B7" s="2" t="str">
        <f>INDEX(Geography_Progress!$A$5:$A$9,MATCH(MAX(Geography_Progress!$E$5:$E$9),Geography_Progress!$E$5:$E$9,0))&amp;" currently has the strongest weighted country-level progress."</f>
        <v>France currently has the strongest weighted country-level progress.</v>
      </c>
      <c r="C7" s="2" t="s">
        <v>122</v>
      </c>
    </row>
    <row r="8" spans="1:8" x14ac:dyDescent="0.35">
      <c r="A8" s="2" t="s">
        <v>123</v>
      </c>
      <c r="B8" s="2" t="str">
        <f ca="1">INDEX(Portfolio_Master!$B$5:$B$12,MATCH(MAX(Portfolio_Master!$O$5:$O$12),Portfolio_Master!$O$5:$O$12,0))&amp;" leads on risk-adjusted progress."</f>
        <v>Occitanie Ground Mount leads on risk-adjusted progress.</v>
      </c>
      <c r="C8" s="2" t="s">
        <v>124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4"/>
  <sheetViews>
    <sheetView showGridLines="0" tabSelected="1" workbookViewId="0">
      <pane ySplit="14" topLeftCell="A22" activePane="bottomLeft" state="frozen"/>
      <selection pane="bottomLeft" sqref="A1:P1"/>
    </sheetView>
  </sheetViews>
  <sheetFormatPr defaultRowHeight="14.5" x14ac:dyDescent="0.35"/>
  <cols>
    <col min="1" max="1" width="18" customWidth="1"/>
    <col min="2" max="2" width="16" customWidth="1"/>
    <col min="3" max="3" width="18" customWidth="1"/>
    <col min="4" max="4" width="14" customWidth="1"/>
    <col min="5" max="5" width="4" customWidth="1"/>
    <col min="6" max="6" width="14" customWidth="1"/>
    <col min="7" max="7" width="12" customWidth="1"/>
    <col min="8" max="8" width="4" customWidth="1"/>
    <col min="9" max="9" width="14" customWidth="1"/>
    <col min="10" max="10" width="16" customWidth="1"/>
    <col min="11" max="11" width="14" customWidth="1"/>
    <col min="12" max="15" width="12" customWidth="1"/>
  </cols>
  <sheetData>
    <row r="1" spans="1:16" ht="24" customHeight="1" x14ac:dyDescent="0.35">
      <c r="A1" s="35" t="s">
        <v>142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 ht="20" customHeight="1" x14ac:dyDescent="0.35">
      <c r="A2" s="53" t="s">
        <v>125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</row>
    <row r="4" spans="1:16" ht="34" customHeight="1" x14ac:dyDescent="0.35">
      <c r="A4" s="41" t="s">
        <v>126</v>
      </c>
      <c r="B4" s="42"/>
      <c r="C4" s="43"/>
      <c r="E4" s="51" t="s">
        <v>127</v>
      </c>
      <c r="F4" s="40"/>
      <c r="G4" s="40"/>
      <c r="I4" s="52" t="s">
        <v>128</v>
      </c>
      <c r="J4" s="40"/>
      <c r="K4" s="40"/>
    </row>
    <row r="5" spans="1:16" ht="34" customHeight="1" x14ac:dyDescent="0.35">
      <c r="A5" s="44"/>
      <c r="B5" s="40"/>
      <c r="C5" s="45"/>
      <c r="E5" s="40"/>
      <c r="F5" s="40"/>
      <c r="G5" s="40"/>
      <c r="I5" s="40"/>
      <c r="J5" s="40"/>
      <c r="K5" s="40"/>
    </row>
    <row r="6" spans="1:16" ht="34" customHeight="1" x14ac:dyDescent="0.35">
      <c r="A6" s="46"/>
      <c r="B6" s="47"/>
      <c r="C6" s="48"/>
      <c r="E6" s="40"/>
      <c r="F6" s="40"/>
      <c r="G6" s="40"/>
      <c r="I6" s="40"/>
      <c r="J6" s="40"/>
      <c r="K6" s="40"/>
    </row>
    <row r="7" spans="1:16" ht="34" customHeight="1" x14ac:dyDescent="0.35"/>
    <row r="8" spans="1:16" ht="34" customHeight="1" x14ac:dyDescent="0.35">
      <c r="A8" s="49" t="s">
        <v>129</v>
      </c>
      <c r="B8" s="40"/>
      <c r="C8" s="40"/>
      <c r="E8" s="50" t="s">
        <v>130</v>
      </c>
      <c r="F8" s="40"/>
      <c r="G8" s="40"/>
      <c r="I8" s="39" t="s">
        <v>131</v>
      </c>
      <c r="J8" s="40"/>
      <c r="K8" s="40"/>
    </row>
    <row r="9" spans="1:16" ht="34" customHeight="1" x14ac:dyDescent="0.35">
      <c r="A9" s="40"/>
      <c r="B9" s="40"/>
      <c r="C9" s="40"/>
      <c r="E9" s="40"/>
      <c r="F9" s="40"/>
      <c r="G9" s="40"/>
      <c r="I9" s="40"/>
      <c r="J9" s="40"/>
      <c r="K9" s="40"/>
    </row>
    <row r="10" spans="1:16" ht="34" customHeight="1" x14ac:dyDescent="0.35">
      <c r="A10" s="40"/>
      <c r="B10" s="40"/>
      <c r="C10" s="40"/>
      <c r="E10" s="40"/>
      <c r="F10" s="40"/>
      <c r="G10" s="40"/>
      <c r="I10" s="40"/>
      <c r="J10" s="40"/>
      <c r="K10" s="40"/>
    </row>
    <row r="15" spans="1:16" ht="22" customHeight="1" x14ac:dyDescent="0.35">
      <c r="A15" s="1" t="s">
        <v>132</v>
      </c>
      <c r="B15" s="1" t="s">
        <v>93</v>
      </c>
      <c r="C15" s="1" t="s">
        <v>98</v>
      </c>
      <c r="D15" s="1" t="s">
        <v>101</v>
      </c>
      <c r="F15" s="1" t="s">
        <v>22</v>
      </c>
      <c r="G15" s="1" t="s">
        <v>106</v>
      </c>
      <c r="I15" s="1" t="s">
        <v>19</v>
      </c>
      <c r="J15" s="1" t="s">
        <v>133</v>
      </c>
    </row>
    <row r="16" spans="1:16" x14ac:dyDescent="0.35">
      <c r="A16" t="str">
        <f>Portfolio_Master!B5</f>
        <v>Brandenburg Solar Park</v>
      </c>
      <c r="B16" s="10">
        <f>Portfolio_Master!J5</f>
        <v>0.64</v>
      </c>
      <c r="C16" s="10">
        <f ca="1">Portfolio_Master!O5</f>
        <v>0.48</v>
      </c>
      <c r="D16" s="10">
        <f>Portfolio_Master!R5</f>
        <v>0.95</v>
      </c>
      <c r="F16" t="s">
        <v>37</v>
      </c>
      <c r="G16">
        <f>COUNTIF(Portfolio_Master!$F$5:$F$12,F16)</f>
        <v>3</v>
      </c>
      <c r="I16" t="str">
        <f>Geography_Progress!A5</f>
        <v>France</v>
      </c>
      <c r="J16" s="10">
        <f>Geography_Progress!E5</f>
        <v>1</v>
      </c>
    </row>
    <row r="17" spans="1:10" x14ac:dyDescent="0.35">
      <c r="A17" t="str">
        <f>Portfolio_Master!B6</f>
        <v>Andalusia Solar Cluster</v>
      </c>
      <c r="B17" s="10">
        <f>Portfolio_Master!J6</f>
        <v>0.54</v>
      </c>
      <c r="C17" s="10">
        <f ca="1">Portfolio_Master!O6</f>
        <v>0.48600000000000004</v>
      </c>
      <c r="D17" s="10">
        <f>Portfolio_Master!R6</f>
        <v>1.0424242424242425</v>
      </c>
      <c r="F17" t="s">
        <v>49</v>
      </c>
      <c r="G17">
        <f>COUNTIF(Portfolio_Master!$F$5:$F$12,F17)</f>
        <v>3</v>
      </c>
      <c r="I17" t="str">
        <f>Geography_Progress!A6</f>
        <v>Germany</v>
      </c>
      <c r="J17" s="10">
        <f>Geography_Progress!E6</f>
        <v>0.5</v>
      </c>
    </row>
    <row r="18" spans="1:10" x14ac:dyDescent="0.35">
      <c r="A18" t="str">
        <f>Portfolio_Master!B7</f>
        <v>Sicily Agrivoltaic Hub</v>
      </c>
      <c r="B18" s="10">
        <f>Portfolio_Master!J7</f>
        <v>0.44</v>
      </c>
      <c r="C18" s="10">
        <f ca="1">Portfolio_Master!O7</f>
        <v>0.39600000000000002</v>
      </c>
      <c r="D18" s="10">
        <f>Portfolio_Master!R7</f>
        <v>1.0425531914893618</v>
      </c>
      <c r="F18" t="s">
        <v>104</v>
      </c>
      <c r="G18">
        <f>COUNTIF(Portfolio_Master!$F$5:$F$12,F18)</f>
        <v>2</v>
      </c>
      <c r="I18" t="str">
        <f>Geography_Progress!A7</f>
        <v>Italy</v>
      </c>
      <c r="J18" s="10">
        <f>Geography_Progress!E7</f>
        <v>0.44</v>
      </c>
    </row>
    <row r="19" spans="1:10" x14ac:dyDescent="0.35">
      <c r="A19" t="str">
        <f>Portfolio_Master!B8</f>
        <v>Occitanie Ground Mount</v>
      </c>
      <c r="B19" s="10">
        <f>Portfolio_Master!J8</f>
        <v>1</v>
      </c>
      <c r="C19" s="10">
        <f ca="1">Portfolio_Master!O8</f>
        <v>1</v>
      </c>
      <c r="D19" s="10">
        <f>Portfolio_Master!R8</f>
        <v>0.98780487804878048</v>
      </c>
      <c r="I19" t="str">
        <f>Geography_Progress!A8</f>
        <v>Netherlands</v>
      </c>
      <c r="J19" s="10">
        <f>Geography_Progress!E8</f>
        <v>0.3</v>
      </c>
    </row>
    <row r="20" spans="1:10" x14ac:dyDescent="0.35">
      <c r="A20" t="str">
        <f>Portfolio_Master!B9</f>
        <v>North Holland Solar Farm</v>
      </c>
      <c r="B20" s="10">
        <f>Portfolio_Master!J9</f>
        <v>0.3</v>
      </c>
      <c r="C20" s="10">
        <f ca="1">Portfolio_Master!O9</f>
        <v>0.22499999999999998</v>
      </c>
      <c r="D20" s="10">
        <f>Portfolio_Master!R9</f>
        <v>0.98529411764705888</v>
      </c>
      <c r="I20" t="str">
        <f>Geography_Progress!A9</f>
        <v>Poland</v>
      </c>
      <c r="J20" s="10">
        <f>Geography_Progress!E9</f>
        <v>0.44</v>
      </c>
    </row>
    <row r="21" spans="1:10" ht="22" customHeight="1" x14ac:dyDescent="0.35">
      <c r="A21" t="str">
        <f>Portfolio_Master!B10</f>
        <v>Lower Silesia PV Project</v>
      </c>
      <c r="B21" s="10">
        <f>Portfolio_Master!J10</f>
        <v>0.44</v>
      </c>
      <c r="C21" s="10">
        <f ca="1">Portfolio_Master!O10</f>
        <v>0.44</v>
      </c>
      <c r="D21" s="10">
        <f>Portfolio_Master!R10</f>
        <v>1.0693069306930694</v>
      </c>
      <c r="F21" s="1" t="s">
        <v>96</v>
      </c>
      <c r="G21" s="1" t="s">
        <v>106</v>
      </c>
      <c r="I21" t="str">
        <f>Geography_Progress!A10</f>
        <v>Spain</v>
      </c>
      <c r="J21" s="10">
        <f>Geography_Progress!E10</f>
        <v>0.77</v>
      </c>
    </row>
    <row r="22" spans="1:10" x14ac:dyDescent="0.35">
      <c r="A22" t="str">
        <f>Portfolio_Master!B11</f>
        <v>Saxony Battery-Ready PV</v>
      </c>
      <c r="B22" s="10">
        <f>Portfolio_Master!J11</f>
        <v>0.36</v>
      </c>
      <c r="C22" s="10">
        <f ca="1">Portfolio_Master!O11</f>
        <v>0.32400000000000001</v>
      </c>
      <c r="D22" s="10">
        <f>Portfolio_Master!R11</f>
        <v>0.97619047619047616</v>
      </c>
      <c r="F22" t="s">
        <v>134</v>
      </c>
      <c r="G22">
        <f ca="1">COUNTIF(Portfolio_Master!$M$5:$M$12,F22)</f>
        <v>3</v>
      </c>
    </row>
    <row r="23" spans="1:10" x14ac:dyDescent="0.35">
      <c r="A23" t="str">
        <f>Portfolio_Master!B12</f>
        <v>Valencia Hybrid Solar Site</v>
      </c>
      <c r="B23" s="10">
        <f>Portfolio_Master!J12</f>
        <v>1</v>
      </c>
      <c r="C23" s="10">
        <f ca="1">Portfolio_Master!O12</f>
        <v>1</v>
      </c>
      <c r="D23" s="10">
        <f>Portfolio_Master!R12</f>
        <v>0.98529411764705888</v>
      </c>
      <c r="F23" t="s">
        <v>135</v>
      </c>
      <c r="G23">
        <f ca="1">COUNTIF(Portfolio_Master!$M$5:$M$12,F23)</f>
        <v>3</v>
      </c>
    </row>
    <row r="24" spans="1:10" x14ac:dyDescent="0.35">
      <c r="F24" t="s">
        <v>136</v>
      </c>
      <c r="G24">
        <f ca="1">COUNTIF(Portfolio_Master!$M$5:$M$12,F24)</f>
        <v>2</v>
      </c>
    </row>
  </sheetData>
  <mergeCells count="8">
    <mergeCell ref="I8:K10"/>
    <mergeCell ref="A1:P1"/>
    <mergeCell ref="A4:C6"/>
    <mergeCell ref="A8:C10"/>
    <mergeCell ref="E8:G10"/>
    <mergeCell ref="E4:G6"/>
    <mergeCell ref="I4:K6"/>
    <mergeCell ref="A2:P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Task_Tracker</vt:lpstr>
      <vt:lpstr>Portfolio_Master</vt:lpstr>
      <vt:lpstr>Geography_Progress</vt:lpstr>
      <vt:lpstr>Insights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Aafreen Ramani</dc:creator>
  <cp:lastModifiedBy>Aafreen Ramani</cp:lastModifiedBy>
  <dcterms:created xsi:type="dcterms:W3CDTF">2026-04-05T00:17:38Z</dcterms:created>
  <dcterms:modified xsi:type="dcterms:W3CDTF">2026-04-28T12:49:54Z</dcterms:modified>
</cp:coreProperties>
</file>